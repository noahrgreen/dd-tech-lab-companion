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ary-Z" sheetId="1" state="visible" r:id="rId1"/>
    <sheet name="Trended-Holt" sheetId="2" state="visible" r:id="rId2"/>
    <sheet name="Variance-Ratio" sheetId="3" state="visible" r:id="rId3"/>
    <sheet name="Selector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B10" authorId="0" shapeId="0">
      <text>
        <t>Claude prompt anchor for workpaper-ready documentation.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2" customWidth="1" min="6" max="6"/>
    <col width="18" customWidth="1" min="7" max="7"/>
    <col width="12" customWidth="1" min="8" max="8"/>
  </cols>
  <sheetData>
    <row r="1">
      <c r="A1" t="inlineStr">
        <is>
          <t>month</t>
        </is>
      </c>
      <c r="B1" t="inlineStr">
        <is>
          <t>value</t>
        </is>
      </c>
      <c r="C1" t="inlineStr">
        <is>
          <t>rolling_mean</t>
        </is>
      </c>
      <c r="D1" t="inlineStr">
        <is>
          <t>rolling_sd</t>
        </is>
      </c>
      <c r="E1" t="inlineStr">
        <is>
          <t>z_score</t>
        </is>
      </c>
      <c r="F1" t="inlineStr">
        <is>
          <t>flag</t>
        </is>
      </c>
    </row>
    <row r="2">
      <c r="A2" s="1" t="n">
        <v>44224</v>
      </c>
      <c r="B2" t="n">
        <v>49567.73</v>
      </c>
      <c r="C2">
        <f>IF(ROW()&lt;14,NA(),AVERAGE(B2:B2))</f>
        <v/>
      </c>
      <c r="D2">
        <f>IF(ROW()&lt;14,NA(),STDEV.S(B2:B2))</f>
        <v/>
      </c>
      <c r="E2">
        <f>IFERROR((B2-C2)/D2,NA())</f>
        <v/>
      </c>
      <c r="F2">
        <f>IF(ABS(E2)&gt;3.48,"FLAG","")</f>
        <v/>
      </c>
    </row>
    <row r="3">
      <c r="A3" s="1" t="n">
        <v>44255</v>
      </c>
      <c r="B3" t="n">
        <v>49481.29</v>
      </c>
      <c r="C3">
        <f>IF(ROW()&lt;14,NA(),AVERAGE(B2:B3))</f>
        <v/>
      </c>
      <c r="D3">
        <f>IF(ROW()&lt;14,NA(),STDEV.S(B2:B3))</f>
        <v/>
      </c>
      <c r="E3">
        <f>IFERROR((B3-C3)/D3,NA())</f>
        <v/>
      </c>
      <c r="F3">
        <f>IF(ABS(E3)&gt;3.48,"FLAG","")</f>
        <v/>
      </c>
    </row>
    <row r="4">
      <c r="A4" s="1" t="n">
        <v>44283</v>
      </c>
      <c r="B4" t="n">
        <v>49666.05</v>
      </c>
      <c r="C4">
        <f>IF(ROW()&lt;14,NA(),AVERAGE(B2:B4))</f>
        <v/>
      </c>
      <c r="D4">
        <f>IF(ROW()&lt;14,NA(),STDEV.S(B2:B4))</f>
        <v/>
      </c>
      <c r="E4">
        <f>IFERROR((B4-C4)/D4,NA())</f>
        <v/>
      </c>
      <c r="F4">
        <f>IF(ABS(E4)&gt;3.48,"FLAG","")</f>
        <v/>
      </c>
    </row>
    <row r="5">
      <c r="A5" s="1" t="n">
        <v>44314</v>
      </c>
      <c r="B5" t="n">
        <v>52105.95</v>
      </c>
      <c r="C5">
        <f>IF(ROW()&lt;14,NA(),AVERAGE(B2:B5))</f>
        <v/>
      </c>
      <c r="D5">
        <f>IF(ROW()&lt;14,NA(),STDEV.S(B2:B5))</f>
        <v/>
      </c>
      <c r="E5">
        <f>IFERROR((B5-C5)/D5,NA())</f>
        <v/>
      </c>
      <c r="F5">
        <f>IF(ABS(E5)&gt;3.48,"FLAG","")</f>
        <v/>
      </c>
    </row>
    <row r="6">
      <c r="A6" s="1" t="n">
        <v>44344</v>
      </c>
      <c r="B6" t="n">
        <v>49617.24</v>
      </c>
      <c r="C6">
        <f>IF(ROW()&lt;14,NA(),AVERAGE(B2:B6))</f>
        <v/>
      </c>
      <c r="D6">
        <f>IF(ROW()&lt;14,NA(),STDEV.S(B2:B6))</f>
        <v/>
      </c>
      <c r="E6">
        <f>IFERROR((B6-C6)/D6,NA())</f>
        <v/>
      </c>
      <c r="F6">
        <f>IF(ABS(E6)&gt;3.48,"FLAG","")</f>
        <v/>
      </c>
    </row>
    <row r="7">
      <c r="A7" s="1" t="n">
        <v>44375</v>
      </c>
      <c r="B7" t="n">
        <v>45507.94</v>
      </c>
      <c r="C7">
        <f>IF(ROW()&lt;14,NA(),AVERAGE(B2:B7))</f>
        <v/>
      </c>
      <c r="D7">
        <f>IF(ROW()&lt;14,NA(),STDEV.S(B2:B7))</f>
        <v/>
      </c>
      <c r="E7">
        <f>IFERROR((B7-C7)/D7,NA())</f>
        <v/>
      </c>
      <c r="F7">
        <f>IF(ABS(E7)&gt;3.48,"FLAG","")</f>
        <v/>
      </c>
    </row>
    <row r="8">
      <c r="A8" s="1" t="n">
        <v>44405</v>
      </c>
      <c r="B8" t="n">
        <v>50996.96</v>
      </c>
      <c r="C8">
        <f>IF(ROW()&lt;14,NA(),AVERAGE(B2:B8))</f>
        <v/>
      </c>
      <c r="D8">
        <f>IF(ROW()&lt;14,NA(),STDEV.S(B2:B8))</f>
        <v/>
      </c>
      <c r="E8">
        <f>IFERROR((B8-C8)/D8,NA())</f>
        <v/>
      </c>
      <c r="F8">
        <f>IF(ABS(E8)&gt;3.48,"FLAG","")</f>
        <v/>
      </c>
    </row>
    <row r="9">
      <c r="A9" s="1" t="n">
        <v>44436</v>
      </c>
      <c r="B9" t="n">
        <v>49197.99</v>
      </c>
      <c r="C9">
        <f>IF(ROW()&lt;14,NA(),AVERAGE(B2:B9))</f>
        <v/>
      </c>
      <c r="D9">
        <f>IF(ROW()&lt;14,NA(),STDEV.S(B2:B9))</f>
        <v/>
      </c>
      <c r="E9">
        <f>IFERROR((B9-C9)/D9,NA())</f>
        <v/>
      </c>
      <c r="F9">
        <f>IF(ABS(E9)&gt;3.48,"FLAG","")</f>
        <v/>
      </c>
    </row>
    <row r="10">
      <c r="A10" s="1" t="n">
        <v>44467</v>
      </c>
      <c r="B10" t="n">
        <v>49349.12</v>
      </c>
      <c r="C10">
        <f>IF(ROW()&lt;14,NA(),AVERAGE(B2:B10))</f>
        <v/>
      </c>
      <c r="D10">
        <f>IF(ROW()&lt;14,NA(),STDEV.S(B2:B10))</f>
        <v/>
      </c>
      <c r="E10">
        <f>IFERROR((B10-C10)/D10,NA())</f>
        <v/>
      </c>
      <c r="F10">
        <f>IF(ABS(E10)&gt;3.48,"FLAG","")</f>
        <v/>
      </c>
    </row>
    <row r="11">
      <c r="A11" s="1" t="n">
        <v>44497</v>
      </c>
      <c r="B11" t="n">
        <v>50347.65</v>
      </c>
      <c r="C11">
        <f>IF(ROW()&lt;14,NA(),AVERAGE(B2:B11))</f>
        <v/>
      </c>
      <c r="D11">
        <f>IF(ROW()&lt;14,NA(),STDEV.S(B2:B11))</f>
        <v/>
      </c>
      <c r="E11">
        <f>IFERROR((B11-C11)/D11,NA())</f>
        <v/>
      </c>
      <c r="F11">
        <f>IF(ABS(E11)&gt;3.48,"FLAG","")</f>
        <v/>
      </c>
    </row>
    <row r="12">
      <c r="A12" s="1" t="n">
        <v>44528</v>
      </c>
      <c r="B12" t="n">
        <v>50696.89</v>
      </c>
      <c r="C12">
        <f>IF(ROW()&lt;14,NA(),AVERAGE(B2:B12))</f>
        <v/>
      </c>
      <c r="D12">
        <f>IF(ROW()&lt;14,NA(),STDEV.S(B2:B12))</f>
        <v/>
      </c>
      <c r="E12">
        <f>IFERROR((B12-C12)/D12,NA())</f>
        <v/>
      </c>
      <c r="F12">
        <f>IF(ABS(E12)&gt;3.48,"FLAG","")</f>
        <v/>
      </c>
    </row>
    <row r="13">
      <c r="A13" s="1" t="n">
        <v>44558</v>
      </c>
      <c r="B13" t="n">
        <v>53490.68</v>
      </c>
      <c r="C13">
        <f>IF(ROW()&lt;14,NA(),AVERAGE(B2:B13))</f>
        <v/>
      </c>
      <c r="D13">
        <f>IF(ROW()&lt;14,NA(),STDEV.S(B2:B13))</f>
        <v/>
      </c>
      <c r="E13">
        <f>IFERROR((B13-C13)/D13,NA())</f>
        <v/>
      </c>
      <c r="F13">
        <f>IF(ABS(E13)&gt;3.48,"FLAG","")</f>
        <v/>
      </c>
    </row>
    <row r="14">
      <c r="A14" s="1" t="n">
        <v>44589</v>
      </c>
      <c r="B14" t="n">
        <v>51969.91</v>
      </c>
      <c r="C14">
        <f>IF(ROW()&lt;14,NA(),AVERAGE(B3:B14))</f>
        <v/>
      </c>
      <c r="D14">
        <f>IF(ROW()&lt;14,NA(),STDEV.S(B3:B14))</f>
        <v/>
      </c>
      <c r="E14">
        <f>IFERROR((B14-C14)/D14,NA())</f>
        <v/>
      </c>
      <c r="F14">
        <f>IF(ABS(E14)&gt;3.48,"FLAG","")</f>
        <v/>
      </c>
    </row>
    <row r="15">
      <c r="A15" s="1" t="n">
        <v>44620</v>
      </c>
      <c r="B15" t="n">
        <v>50331.52</v>
      </c>
      <c r="C15">
        <f>IF(ROW()&lt;14,NA(),AVERAGE(B4:B15))</f>
        <v/>
      </c>
      <c r="D15">
        <f>IF(ROW()&lt;14,NA(),STDEV.S(B4:B15))</f>
        <v/>
      </c>
      <c r="E15">
        <f>IFERROR((B15-C15)/D15,NA())</f>
        <v/>
      </c>
      <c r="F15">
        <f>IF(ABS(E15)&gt;3.48,"FLAG","")</f>
        <v/>
      </c>
    </row>
    <row r="16">
      <c r="A16" s="1" t="n">
        <v>44648</v>
      </c>
      <c r="B16" t="n">
        <v>47785.04</v>
      </c>
      <c r="C16">
        <f>IF(ROW()&lt;14,NA(),AVERAGE(B5:B16))</f>
        <v/>
      </c>
      <c r="D16">
        <f>IF(ROW()&lt;14,NA(),STDEV.S(B5:B16))</f>
        <v/>
      </c>
      <c r="E16">
        <f>IFERROR((B16-C16)/D16,NA())</f>
        <v/>
      </c>
      <c r="F16">
        <f>IF(ABS(E16)&gt;3.48,"FLAG","")</f>
        <v/>
      </c>
    </row>
    <row r="17">
      <c r="A17" s="1" t="n">
        <v>44679</v>
      </c>
      <c r="B17" t="n">
        <v>46956.01</v>
      </c>
      <c r="C17">
        <f>IF(ROW()&lt;14,NA(),AVERAGE(B6:B17))</f>
        <v/>
      </c>
      <c r="D17">
        <f>IF(ROW()&lt;14,NA(),STDEV.S(B6:B17))</f>
        <v/>
      </c>
      <c r="E17">
        <f>IFERROR((B17-C17)/D17,NA())</f>
        <v/>
      </c>
      <c r="F17">
        <f>IF(ABS(E17)&gt;3.48,"FLAG","")</f>
        <v/>
      </c>
    </row>
    <row r="18">
      <c r="A18" s="1" t="n">
        <v>44709</v>
      </c>
      <c r="B18" t="n">
        <v>50739.03</v>
      </c>
      <c r="C18">
        <f>IF(ROW()&lt;14,NA(),AVERAGE(B7:B18))</f>
        <v/>
      </c>
      <c r="D18">
        <f>IF(ROW()&lt;14,NA(),STDEV.S(B7:B18))</f>
        <v/>
      </c>
      <c r="E18">
        <f>IFERROR((B18-C18)/D18,NA())</f>
        <v/>
      </c>
      <c r="F18">
        <f>IF(ABS(E18)&gt;3.48,"FLAG","")</f>
        <v/>
      </c>
    </row>
    <row r="19">
      <c r="A19" s="1" t="n">
        <v>44740</v>
      </c>
      <c r="B19" t="n">
        <v>53933.24</v>
      </c>
      <c r="C19">
        <f>IF(ROW()&lt;14,NA(),AVERAGE(B8:B19))</f>
        <v/>
      </c>
      <c r="D19">
        <f>IF(ROW()&lt;14,NA(),STDEV.S(B8:B19))</f>
        <v/>
      </c>
      <c r="E19">
        <f>IFERROR((B19-C19)/D19,NA())</f>
        <v/>
      </c>
      <c r="F19">
        <f>IF(ABS(E19)&gt;3.48,"FLAG","")</f>
        <v/>
      </c>
    </row>
    <row r="20">
      <c r="A20" s="1" t="n">
        <v>44770</v>
      </c>
      <c r="B20" t="n">
        <v>50124.97</v>
      </c>
      <c r="C20">
        <f>IF(ROW()&lt;14,NA(),AVERAGE(B9:B20))</f>
        <v/>
      </c>
      <c r="D20">
        <f>IF(ROW()&lt;14,NA(),STDEV.S(B9:B20))</f>
        <v/>
      </c>
      <c r="E20">
        <f>IFERROR((B20-C20)/D20,NA())</f>
        <v/>
      </c>
      <c r="F20">
        <f>IF(ABS(E20)&gt;3.48,"FLAG","")</f>
        <v/>
      </c>
    </row>
    <row r="21">
      <c r="A21" s="1" t="n">
        <v>44801</v>
      </c>
      <c r="B21" t="n">
        <v>49681.03</v>
      </c>
      <c r="C21">
        <f>IF(ROW()&lt;14,NA(),AVERAGE(B10:B21))</f>
        <v/>
      </c>
      <c r="D21">
        <f>IF(ROW()&lt;14,NA(),STDEV.S(B10:B21))</f>
        <v/>
      </c>
      <c r="E21">
        <f>IFERROR((B21-C21)/D21,NA())</f>
        <v/>
      </c>
      <c r="F21">
        <f>IF(ABS(E21)&gt;3.48,"FLAG","")</f>
        <v/>
      </c>
    </row>
    <row r="22">
      <c r="A22" s="1" t="n">
        <v>44832</v>
      </c>
      <c r="B22" t="n">
        <v>51595.33</v>
      </c>
      <c r="C22">
        <f>IF(ROW()&lt;14,NA(),AVERAGE(B11:B22))</f>
        <v/>
      </c>
      <c r="D22">
        <f>IF(ROW()&lt;14,NA(),STDEV.S(B11:B22))</f>
        <v/>
      </c>
      <c r="E22">
        <f>IFERROR((B22-C22)/D22,NA())</f>
        <v/>
      </c>
      <c r="F22">
        <f>IF(ABS(E22)&gt;3.48,"FLAG","")</f>
        <v/>
      </c>
    </row>
    <row r="23">
      <c r="A23" s="1" t="n">
        <v>44862</v>
      </c>
      <c r="B23" t="n">
        <v>45639.36</v>
      </c>
      <c r="C23">
        <f>IF(ROW()&lt;14,NA(),AVERAGE(B12:B23))</f>
        <v/>
      </c>
      <c r="D23">
        <f>IF(ROW()&lt;14,NA(),STDEV.S(B12:B23))</f>
        <v/>
      </c>
      <c r="E23">
        <f>IFERROR((B23-C23)/D23,NA())</f>
        <v/>
      </c>
      <c r="F23">
        <f>IF(ABS(E23)&gt;3.48,"FLAG","")</f>
        <v/>
      </c>
    </row>
    <row r="24">
      <c r="A24" s="1" t="n">
        <v>44893</v>
      </c>
      <c r="B24" t="n">
        <v>49063.17</v>
      </c>
      <c r="C24">
        <f>IF(ROW()&lt;14,NA(),AVERAGE(B13:B24))</f>
        <v/>
      </c>
      <c r="D24">
        <f>IF(ROW()&lt;14,NA(),STDEV.S(B13:B24))</f>
        <v/>
      </c>
      <c r="E24">
        <f>IFERROR((B24-C24)/D24,NA())</f>
        <v/>
      </c>
      <c r="F24">
        <f>IF(ABS(E24)&gt;3.48,"FLAG","")</f>
        <v/>
      </c>
    </row>
    <row r="25">
      <c r="A25" s="1" t="n">
        <v>44923</v>
      </c>
      <c r="B25" t="n">
        <v>51471.09</v>
      </c>
      <c r="C25">
        <f>IF(ROW()&lt;14,NA(),AVERAGE(B14:B25))</f>
        <v/>
      </c>
      <c r="D25">
        <f>IF(ROW()&lt;14,NA(),STDEV.S(B14:B25))</f>
        <v/>
      </c>
      <c r="E25">
        <f>IFERROR((B25-C25)/D25,NA())</f>
        <v/>
      </c>
      <c r="F25">
        <f>IF(ABS(E25)&gt;3.48,"FLAG","")</f>
        <v/>
      </c>
    </row>
    <row r="26">
      <c r="A26" s="1" t="n">
        <v>44954</v>
      </c>
      <c r="B26" t="n">
        <v>52620.21</v>
      </c>
      <c r="C26">
        <f>IF(ROW()&lt;14,NA(),AVERAGE(B15:B26))</f>
        <v/>
      </c>
      <c r="D26">
        <f>IF(ROW()&lt;14,NA(),STDEV.S(B15:B26))</f>
        <v/>
      </c>
      <c r="E26">
        <f>IFERROR((B26-C26)/D26,NA())</f>
        <v/>
      </c>
      <c r="F26">
        <f>IF(ABS(E26)&gt;3.48,"FLAG","")</f>
        <v/>
      </c>
    </row>
    <row r="27">
      <c r="A27" s="1" t="n">
        <v>44985</v>
      </c>
      <c r="B27" t="n">
        <v>49278.11</v>
      </c>
      <c r="C27">
        <f>IF(ROW()&lt;14,NA(),AVERAGE(B16:B27))</f>
        <v/>
      </c>
      <c r="D27">
        <f>IF(ROW()&lt;14,NA(),STDEV.S(B16:B27))</f>
        <v/>
      </c>
      <c r="E27">
        <f>IFERROR((B27-C27)/D27,NA())</f>
        <v/>
      </c>
      <c r="F27">
        <f>IF(ABS(E27)&gt;3.48,"FLAG","")</f>
        <v/>
      </c>
    </row>
    <row r="28">
      <c r="A28" s="1" t="n">
        <v>45013</v>
      </c>
      <c r="B28" t="n">
        <v>51129.8</v>
      </c>
      <c r="C28">
        <f>IF(ROW()&lt;14,NA(),AVERAGE(B17:B28))</f>
        <v/>
      </c>
      <c r="D28">
        <f>IF(ROW()&lt;14,NA(),STDEV.S(B17:B28))</f>
        <v/>
      </c>
      <c r="E28">
        <f>IFERROR((B28-C28)/D28,NA())</f>
        <v/>
      </c>
      <c r="F28">
        <f>IF(ABS(E28)&gt;3.48,"FLAG","")</f>
        <v/>
      </c>
    </row>
    <row r="29">
      <c r="A29" s="1" t="n">
        <v>45044</v>
      </c>
      <c r="B29" t="n">
        <v>50744.64</v>
      </c>
      <c r="C29">
        <f>IF(ROW()&lt;14,NA(),AVERAGE(B18:B29))</f>
        <v/>
      </c>
      <c r="D29">
        <f>IF(ROW()&lt;14,NA(),STDEV.S(B18:B29))</f>
        <v/>
      </c>
      <c r="E29">
        <f>IFERROR((B29-C29)/D29,NA())</f>
        <v/>
      </c>
      <c r="F29">
        <f>IF(ABS(E29)&gt;3.48,"FLAG","")</f>
        <v/>
      </c>
    </row>
    <row r="30">
      <c r="A30" s="1" t="n">
        <v>45074</v>
      </c>
      <c r="B30" t="n">
        <v>52346.98</v>
      </c>
      <c r="C30">
        <f>IF(ROW()&lt;14,NA(),AVERAGE(B19:B30))</f>
        <v/>
      </c>
      <c r="D30">
        <f>IF(ROW()&lt;14,NA(),STDEV.S(B19:B30))</f>
        <v/>
      </c>
      <c r="E30">
        <f>IFERROR((B30-C30)/D30,NA())</f>
        <v/>
      </c>
      <c r="F30">
        <f>IF(ABS(E30)&gt;3.48,"FLAG","")</f>
        <v/>
      </c>
    </row>
    <row r="31">
      <c r="A31" s="1" t="n">
        <v>45105</v>
      </c>
      <c r="B31" t="n">
        <v>46660.33</v>
      </c>
      <c r="C31">
        <f>IF(ROW()&lt;14,NA(),AVERAGE(B20:B31))</f>
        <v/>
      </c>
      <c r="D31">
        <f>IF(ROW()&lt;14,NA(),STDEV.S(B20:B31))</f>
        <v/>
      </c>
      <c r="E31">
        <f>IFERROR((B31-C31)/D31,NA())</f>
        <v/>
      </c>
      <c r="F31">
        <f>IF(ABS(E31)&gt;3.48,"FLAG","")</f>
        <v/>
      </c>
    </row>
    <row r="32">
      <c r="A32" s="1" t="n">
        <v>45135</v>
      </c>
      <c r="B32" t="n">
        <v>51704.75</v>
      </c>
      <c r="C32">
        <f>IF(ROW()&lt;14,NA(),AVERAGE(B21:B32))</f>
        <v/>
      </c>
      <c r="D32">
        <f>IF(ROW()&lt;14,NA(),STDEV.S(B21:B32))</f>
        <v/>
      </c>
      <c r="E32">
        <f>IFERROR((B32-C32)/D32,NA())</f>
        <v/>
      </c>
      <c r="F32">
        <f>IF(ABS(E32)&gt;3.48,"FLAG","")</f>
        <v/>
      </c>
    </row>
    <row r="33">
      <c r="A33" s="1" t="n">
        <v>45166</v>
      </c>
      <c r="B33" t="n">
        <v>45456.44</v>
      </c>
      <c r="C33">
        <f>IF(ROW()&lt;14,NA(),AVERAGE(B22:B33))</f>
        <v/>
      </c>
      <c r="D33">
        <f>IF(ROW()&lt;14,NA(),STDEV.S(B22:B33))</f>
        <v/>
      </c>
      <c r="E33">
        <f>IFERROR((B33-C33)/D33,NA())</f>
        <v/>
      </c>
      <c r="F33">
        <f>IF(ABS(E33)&gt;3.48,"FLAG","")</f>
        <v/>
      </c>
    </row>
    <row r="34">
      <c r="A34" s="1" t="n">
        <v>45197</v>
      </c>
      <c r="B34" t="n">
        <v>42140.16</v>
      </c>
      <c r="C34">
        <f>IF(ROW()&lt;14,NA(),AVERAGE(B23:B34))</f>
        <v/>
      </c>
      <c r="D34">
        <f>IF(ROW()&lt;14,NA(),STDEV.S(B23:B34))</f>
        <v/>
      </c>
      <c r="E34">
        <f>IFERROR((B34-C34)/D34,NA())</f>
        <v/>
      </c>
      <c r="F34">
        <f>IF(ABS(E34)&gt;3.48,"FLAG","")</f>
        <v/>
      </c>
    </row>
    <row r="35">
      <c r="A35" s="1" t="n">
        <v>45227</v>
      </c>
      <c r="B35" t="n">
        <v>48179.33</v>
      </c>
      <c r="C35">
        <f>IF(ROW()&lt;14,NA(),AVERAGE(B24:B35))</f>
        <v/>
      </c>
      <c r="D35">
        <f>IF(ROW()&lt;14,NA(),STDEV.S(B24:B35))</f>
        <v/>
      </c>
      <c r="E35">
        <f>IFERROR((B35-C35)/D35,NA())</f>
        <v/>
      </c>
      <c r="F35">
        <f>IF(ABS(E35)&gt;3.48,"FLAG","")</f>
        <v/>
      </c>
    </row>
    <row r="36">
      <c r="A36" s="1" t="n">
        <v>45258</v>
      </c>
      <c r="B36" t="n">
        <v>47252.57</v>
      </c>
      <c r="C36">
        <f>IF(ROW()&lt;14,NA(),AVERAGE(B25:B36))</f>
        <v/>
      </c>
      <c r="D36">
        <f>IF(ROW()&lt;14,NA(),STDEV.S(B25:B36))</f>
        <v/>
      </c>
      <c r="E36">
        <f>IFERROR((B36-C36)/D36,NA())</f>
        <v/>
      </c>
      <c r="F36">
        <f>IF(ABS(E36)&gt;3.48,"FLAG","")</f>
        <v/>
      </c>
    </row>
    <row r="37">
      <c r="A37" s="1" t="n">
        <v>45288</v>
      </c>
      <c r="B37" t="n">
        <v>52628.04</v>
      </c>
      <c r="C37">
        <f>IF(ROW()&lt;14,NA(),AVERAGE(B26:B37))</f>
        <v/>
      </c>
      <c r="D37">
        <f>IF(ROW()&lt;14,NA(),STDEV.S(B26:B37))</f>
        <v/>
      </c>
      <c r="E37">
        <f>IFERROR((B37-C37)/D37,NA())</f>
        <v/>
      </c>
      <c r="F37">
        <f>IF(ABS(E37)&gt;3.48,"FLAG","")</f>
        <v/>
      </c>
    </row>
    <row r="38">
      <c r="A38" s="1" t="n">
        <v>45319</v>
      </c>
      <c r="B38" t="n">
        <v>51992.8</v>
      </c>
      <c r="C38">
        <f>IF(ROW()&lt;14,NA(),AVERAGE(B27:B38))</f>
        <v/>
      </c>
      <c r="D38">
        <f>IF(ROW()&lt;14,NA(),STDEV.S(B27:B38))</f>
        <v/>
      </c>
      <c r="E38">
        <f>IFERROR((B38-C38)/D38,NA())</f>
        <v/>
      </c>
      <c r="F38">
        <f>IF(ABS(E38)&gt;3.48,"FLAG","")</f>
        <v/>
      </c>
    </row>
    <row r="39">
      <c r="A39" s="1" t="n">
        <v>45350</v>
      </c>
      <c r="B39" t="n">
        <v>46342.78</v>
      </c>
      <c r="C39">
        <f>IF(ROW()&lt;14,NA(),AVERAGE(B28:B39))</f>
        <v/>
      </c>
      <c r="D39">
        <f>IF(ROW()&lt;14,NA(),STDEV.S(B28:B39))</f>
        <v/>
      </c>
      <c r="E39">
        <f>IFERROR((B39-C39)/D39,NA())</f>
        <v/>
      </c>
      <c r="F39">
        <f>IF(ABS(E39)&gt;3.48,"FLAG","")</f>
        <v/>
      </c>
    </row>
    <row r="40">
      <c r="A40" s="1" t="n">
        <v>45379</v>
      </c>
      <c r="B40" t="n">
        <v>52542.08</v>
      </c>
      <c r="C40">
        <f>IF(ROW()&lt;14,NA(),AVERAGE(B29:B40))</f>
        <v/>
      </c>
      <c r="D40">
        <f>IF(ROW()&lt;14,NA(),STDEV.S(B29:B40))</f>
        <v/>
      </c>
      <c r="E40">
        <f>IFERROR((B40-C40)/D40,NA())</f>
        <v/>
      </c>
      <c r="F40">
        <f>IF(ABS(E40)&gt;3.48,"FLAG","")</f>
        <v/>
      </c>
    </row>
    <row r="41">
      <c r="A41" s="1" t="n">
        <v>45410</v>
      </c>
      <c r="B41" t="n">
        <v>46993.39</v>
      </c>
      <c r="C41">
        <f>IF(ROW()&lt;14,NA(),AVERAGE(B30:B41))</f>
        <v/>
      </c>
      <c r="D41">
        <f>IF(ROW()&lt;14,NA(),STDEV.S(B30:B41))</f>
        <v/>
      </c>
      <c r="E41">
        <f>IFERROR((B41-C41)/D41,NA())</f>
        <v/>
      </c>
      <c r="F41">
        <f>IF(ABS(E41)&gt;3.48,"FLAG","")</f>
        <v/>
      </c>
    </row>
    <row r="42">
      <c r="A42" s="1" t="n">
        <v>45440</v>
      </c>
      <c r="B42" t="n">
        <v>49741.27</v>
      </c>
      <c r="C42">
        <f>IF(ROW()&lt;14,NA(),AVERAGE(B31:B42))</f>
        <v/>
      </c>
      <c r="D42">
        <f>IF(ROW()&lt;14,NA(),STDEV.S(B31:B42))</f>
        <v/>
      </c>
      <c r="E42">
        <f>IFERROR((B42-C42)/D42,NA())</f>
        <v/>
      </c>
      <c r="F42">
        <f>IF(ABS(E42)&gt;3.48,"FLAG","")</f>
        <v/>
      </c>
    </row>
    <row r="43">
      <c r="A43" s="1" t="n">
        <v>45471</v>
      </c>
      <c r="B43" t="n">
        <v>49118.3</v>
      </c>
      <c r="C43">
        <f>IF(ROW()&lt;14,NA(),AVERAGE(B32:B43))</f>
        <v/>
      </c>
      <c r="D43">
        <f>IF(ROW()&lt;14,NA(),STDEV.S(B32:B43))</f>
        <v/>
      </c>
      <c r="E43">
        <f>IFERROR((B43-C43)/D43,NA())</f>
        <v/>
      </c>
      <c r="F43">
        <f>IF(ABS(E43)&gt;3.48,"FLAG","")</f>
        <v/>
      </c>
    </row>
    <row r="44">
      <c r="A44" s="1" t="n">
        <v>45501</v>
      </c>
      <c r="B44" t="n">
        <v>50343.26</v>
      </c>
      <c r="C44">
        <f>IF(ROW()&lt;14,NA(),AVERAGE(B33:B44))</f>
        <v/>
      </c>
      <c r="D44">
        <f>IF(ROW()&lt;14,NA(),STDEV.S(B33:B44))</f>
        <v/>
      </c>
      <c r="E44">
        <f>IFERROR((B44-C44)/D44,NA())</f>
        <v/>
      </c>
      <c r="F44">
        <f>IF(ABS(E44)&gt;3.48,"FLAG","")</f>
        <v/>
      </c>
    </row>
    <row r="45">
      <c r="A45" s="1" t="n">
        <v>45532</v>
      </c>
      <c r="B45" t="n">
        <v>52455.91</v>
      </c>
      <c r="C45">
        <f>IF(ROW()&lt;14,NA(),AVERAGE(B34:B45))</f>
        <v/>
      </c>
      <c r="D45">
        <f>IF(ROW()&lt;14,NA(),STDEV.S(B34:B45))</f>
        <v/>
      </c>
      <c r="E45">
        <f>IFERROR((B45-C45)/D45,NA())</f>
        <v/>
      </c>
      <c r="F45">
        <f>IF(ABS(E45)&gt;3.48,"FLAG","")</f>
        <v/>
      </c>
    </row>
    <row r="46">
      <c r="A46" s="1" t="n">
        <v>45563</v>
      </c>
      <c r="B46" t="n">
        <v>51915.24</v>
      </c>
      <c r="C46">
        <f>IF(ROW()&lt;14,NA(),AVERAGE(B35:B46))</f>
        <v/>
      </c>
      <c r="D46">
        <f>IF(ROW()&lt;14,NA(),STDEV.S(B35:B46))</f>
        <v/>
      </c>
      <c r="E46">
        <f>IFERROR((B46-C46)/D46,NA())</f>
        <v/>
      </c>
      <c r="F46">
        <f>IF(ABS(E46)&gt;3.48,"FLAG","")</f>
        <v/>
      </c>
    </row>
    <row r="47">
      <c r="A47" s="1" t="n">
        <v>45593</v>
      </c>
      <c r="B47" t="n">
        <v>51049.66</v>
      </c>
      <c r="C47">
        <f>IF(ROW()&lt;14,NA(),AVERAGE(B36:B47))</f>
        <v/>
      </c>
      <c r="D47">
        <f>IF(ROW()&lt;14,NA(),STDEV.S(B36:B47))</f>
        <v/>
      </c>
      <c r="E47">
        <f>IFERROR((B47-C47)/D47,NA())</f>
        <v/>
      </c>
      <c r="F47">
        <f>IF(ABS(E47)&gt;3.48,"FLAG","")</f>
        <v/>
      </c>
    </row>
    <row r="48">
      <c r="A48" s="1" t="n">
        <v>45624</v>
      </c>
      <c r="B48" t="n">
        <v>51949.84</v>
      </c>
      <c r="C48">
        <f>IF(ROW()&lt;14,NA(),AVERAGE(B37:B48))</f>
        <v/>
      </c>
      <c r="D48">
        <f>IF(ROW()&lt;14,NA(),STDEV.S(B37:B48))</f>
        <v/>
      </c>
      <c r="E48">
        <f>IFERROR((B48-C48)/D48,NA())</f>
        <v/>
      </c>
      <c r="F48">
        <f>IF(ABS(E48)&gt;3.48,"FLAG","")</f>
        <v/>
      </c>
    </row>
    <row r="49">
      <c r="A49" s="1" t="n">
        <v>45654</v>
      </c>
      <c r="B49" t="n">
        <v>51435.48</v>
      </c>
      <c r="C49">
        <f>IF(ROW()&lt;14,NA(),AVERAGE(B38:B49))</f>
        <v/>
      </c>
      <c r="D49">
        <f>IF(ROW()&lt;14,NA(),STDEV.S(B38:B49))</f>
        <v/>
      </c>
      <c r="E49">
        <f>IFERROR((B49-C49)/D49,NA())</f>
        <v/>
      </c>
      <c r="F49">
        <f>IF(ABS(E49)&gt;3.48,"FLAG","")</f>
        <v/>
      </c>
    </row>
    <row r="50">
      <c r="A50" s="1" t="n">
        <v>45685</v>
      </c>
      <c r="B50" t="n">
        <v>62000</v>
      </c>
      <c r="C50">
        <f>IF(ROW()&lt;14,NA(),AVERAGE(B39:B50))</f>
        <v/>
      </c>
      <c r="D50">
        <f>IF(ROW()&lt;14,NA(),STDEV.S(B39:B50))</f>
        <v/>
      </c>
      <c r="E50">
        <f>IFERROR((B50-C50)/D50,NA())</f>
        <v/>
      </c>
      <c r="F50">
        <f>IF(ABS(E50)&gt;3.48,"FLAG","")</f>
        <v/>
      </c>
    </row>
    <row r="51">
      <c r="A51" s="1" t="n">
        <v>45716</v>
      </c>
      <c r="B51" t="n">
        <v>47847.89</v>
      </c>
      <c r="C51">
        <f>IF(ROW()&lt;14,NA(),AVERAGE(B40:B51))</f>
        <v/>
      </c>
      <c r="D51">
        <f>IF(ROW()&lt;14,NA(),STDEV.S(B40:B51))</f>
        <v/>
      </c>
      <c r="E51">
        <f>IFERROR((B51-C51)/D51,NA())</f>
        <v/>
      </c>
      <c r="F51">
        <f>IF(ABS(E51)&gt;3.48,"FLAG","")</f>
        <v/>
      </c>
    </row>
    <row r="52">
      <c r="A52" s="1" t="n">
        <v>45744</v>
      </c>
      <c r="B52" t="n">
        <v>48590.1</v>
      </c>
      <c r="C52">
        <f>IF(ROW()&lt;14,NA(),AVERAGE(B41:B52))</f>
        <v/>
      </c>
      <c r="D52">
        <f>IF(ROW()&lt;14,NA(),STDEV.S(B41:B52))</f>
        <v/>
      </c>
      <c r="E52">
        <f>IFERROR((B52-C52)/D52,NA())</f>
        <v/>
      </c>
      <c r="F52">
        <f>IF(ABS(E52)&gt;3.48,"FLAG","")</f>
        <v/>
      </c>
    </row>
    <row r="53">
      <c r="A53" s="1" t="n">
        <v>45775</v>
      </c>
      <c r="B53" t="n">
        <v>51497.98</v>
      </c>
      <c r="C53">
        <f>IF(ROW()&lt;14,NA(),AVERAGE(B42:B53))</f>
        <v/>
      </c>
      <c r="D53">
        <f>IF(ROW()&lt;14,NA(),STDEV.S(B42:B53))</f>
        <v/>
      </c>
      <c r="E53">
        <f>IFERROR((B53-C53)/D53,NA())</f>
        <v/>
      </c>
      <c r="F53">
        <f>IF(ABS(E53)&gt;3.48,"FLAG","")</f>
        <v/>
      </c>
    </row>
    <row r="54">
      <c r="A54" s="1" t="n">
        <v>45805</v>
      </c>
      <c r="B54" t="n">
        <v>49249.65</v>
      </c>
      <c r="C54">
        <f>IF(ROW()&lt;14,NA(),AVERAGE(B43:B54))</f>
        <v/>
      </c>
      <c r="D54">
        <f>IF(ROW()&lt;14,NA(),STDEV.S(B43:B54))</f>
        <v/>
      </c>
      <c r="E54">
        <f>IFERROR((B54-C54)/D54,NA())</f>
        <v/>
      </c>
      <c r="F54">
        <f>IF(ABS(E54)&gt;3.48,"FLAG","")</f>
        <v/>
      </c>
    </row>
    <row r="55">
      <c r="A55" s="1" t="n">
        <v>45836</v>
      </c>
      <c r="B55" t="n">
        <v>57007.26</v>
      </c>
      <c r="C55">
        <f>IF(ROW()&lt;14,NA(),AVERAGE(B44:B55))</f>
        <v/>
      </c>
      <c r="D55">
        <f>IF(ROW()&lt;14,NA(),STDEV.S(B44:B55))</f>
        <v/>
      </c>
      <c r="E55">
        <f>IFERROR((B55-C55)/D55,NA())</f>
        <v/>
      </c>
      <c r="F55">
        <f>IF(ABS(E55)&gt;3.48,"FLAG","")</f>
        <v/>
      </c>
    </row>
    <row r="56">
      <c r="A56" s="1" t="n">
        <v>45866</v>
      </c>
      <c r="B56" t="n">
        <v>47542.12</v>
      </c>
      <c r="C56">
        <f>IF(ROW()&lt;14,NA(),AVERAGE(B45:B56))</f>
        <v/>
      </c>
      <c r="D56">
        <f>IF(ROW()&lt;14,NA(),STDEV.S(B45:B56))</f>
        <v/>
      </c>
      <c r="E56">
        <f>IFERROR((B56-C56)/D56,NA())</f>
        <v/>
      </c>
      <c r="F56">
        <f>IF(ABS(E56)&gt;3.48,"FLAG","")</f>
        <v/>
      </c>
    </row>
    <row r="57">
      <c r="A57" s="1" t="n">
        <v>45897</v>
      </c>
      <c r="B57" t="n">
        <v>46703.38</v>
      </c>
      <c r="C57">
        <f>IF(ROW()&lt;14,NA(),AVERAGE(B46:B57))</f>
        <v/>
      </c>
      <c r="D57">
        <f>IF(ROW()&lt;14,NA(),STDEV.S(B46:B57))</f>
        <v/>
      </c>
      <c r="E57">
        <f>IFERROR((B57-C57)/D57,NA())</f>
        <v/>
      </c>
      <c r="F57">
        <f>IF(ABS(E57)&gt;3.48,"FLAG","")</f>
        <v/>
      </c>
    </row>
    <row r="58">
      <c r="A58" s="1" t="n">
        <v>45928</v>
      </c>
      <c r="B58" t="n">
        <v>52305.42</v>
      </c>
      <c r="C58">
        <f>IF(ROW()&lt;14,NA(),AVERAGE(B47:B58))</f>
        <v/>
      </c>
      <c r="D58">
        <f>IF(ROW()&lt;14,NA(),STDEV.S(B47:B58))</f>
        <v/>
      </c>
      <c r="E58">
        <f>IFERROR((B58-C58)/D58,NA())</f>
        <v/>
      </c>
      <c r="F58">
        <f>IF(ABS(E58)&gt;3.48,"FLAG","")</f>
        <v/>
      </c>
    </row>
    <row r="59">
      <c r="A59" s="1" t="n">
        <v>45958</v>
      </c>
      <c r="B59" t="n">
        <v>54265.55</v>
      </c>
      <c r="C59">
        <f>IF(ROW()&lt;14,NA(),AVERAGE(B48:B59))</f>
        <v/>
      </c>
      <c r="D59">
        <f>IF(ROW()&lt;14,NA(),STDEV.S(B48:B59))</f>
        <v/>
      </c>
      <c r="E59">
        <f>IFERROR((B59-C59)/D59,NA())</f>
        <v/>
      </c>
      <c r="F59">
        <f>IF(ABS(E59)&gt;3.48,"FLAG","")</f>
        <v/>
      </c>
    </row>
    <row r="60">
      <c r="A60" s="1" t="n">
        <v>45989</v>
      </c>
      <c r="B60" t="n">
        <v>51517.08</v>
      </c>
      <c r="C60">
        <f>IF(ROW()&lt;14,NA(),AVERAGE(B49:B60))</f>
        <v/>
      </c>
      <c r="D60">
        <f>IF(ROW()&lt;14,NA(),STDEV.S(B49:B60))</f>
        <v/>
      </c>
      <c r="E60">
        <f>IFERROR((B60-C60)/D60,NA())</f>
        <v/>
      </c>
      <c r="F60">
        <f>IF(ABS(E60)&gt;3.48,"FLAG","")</f>
        <v/>
      </c>
    </row>
    <row r="61">
      <c r="A61" s="1" t="n">
        <v>46019</v>
      </c>
      <c r="B61" t="n">
        <v>52507.45</v>
      </c>
      <c r="C61">
        <f>IF(ROW()&lt;14,NA(),AVERAGE(B50:B61))</f>
        <v/>
      </c>
      <c r="D61">
        <f>IF(ROW()&lt;14,NA(),STDEV.S(B50:B61))</f>
        <v/>
      </c>
      <c r="E61">
        <f>IFERROR((B61-C61)/D61,NA())</f>
        <v/>
      </c>
      <c r="F61">
        <f>IF(ABS(E61)&gt;3.48,"FLAG","")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2" customWidth="1" min="6" max="6"/>
    <col width="18" customWidth="1" min="7" max="7"/>
    <col width="12" customWidth="1" min="8" max="8"/>
  </cols>
  <sheetData>
    <row r="1">
      <c r="A1" t="inlineStr">
        <is>
          <t>month</t>
        </is>
      </c>
      <c r="B1" t="inlineStr">
        <is>
          <t>value</t>
        </is>
      </c>
      <c r="C1" t="inlineStr">
        <is>
          <t>level_proxy</t>
        </is>
      </c>
      <c r="D1" t="inlineStr">
        <is>
          <t>trend_proxy</t>
        </is>
      </c>
      <c r="E1" t="inlineStr">
        <is>
          <t>residual</t>
        </is>
      </c>
      <c r="F1" t="inlineStr">
        <is>
          <t>flag</t>
        </is>
      </c>
    </row>
    <row r="2">
      <c r="A2" s="1" t="n">
        <v>44224</v>
      </c>
      <c r="B2" t="n">
        <v>925674.21</v>
      </c>
      <c r="C2">
        <f>AVERAGE(B$2:B2)</f>
        <v/>
      </c>
      <c r="D2">
        <f>IF(ROW()=2,0,(C2-C1))</f>
        <v/>
      </c>
      <c r="E2">
        <f>B2-C2</f>
        <v/>
      </c>
      <c r="F2">
        <f>IF(ABS(E2)&gt;82000,"FLAG","")</f>
        <v/>
      </c>
    </row>
    <row r="3">
      <c r="A3" s="1" t="n">
        <v>44255</v>
      </c>
      <c r="B3" t="n">
        <v>910307.51</v>
      </c>
      <c r="C3">
        <f>AVERAGE(B$2:B3)</f>
        <v/>
      </c>
      <c r="D3">
        <f>IF(ROW()=2,0,(C3-C2))</f>
        <v/>
      </c>
      <c r="E3">
        <f>B3-C3</f>
        <v/>
      </c>
      <c r="F3">
        <f>IF(ABS(E3)&gt;82000,"FLAG","")</f>
        <v/>
      </c>
    </row>
    <row r="4">
      <c r="A4" s="1" t="n">
        <v>44283</v>
      </c>
      <c r="B4" t="n">
        <v>898386.74</v>
      </c>
      <c r="C4">
        <f>AVERAGE(B$2:B4)</f>
        <v/>
      </c>
      <c r="D4">
        <f>IF(ROW()=2,0,(C4-C3))</f>
        <v/>
      </c>
      <c r="E4">
        <f>B4-C4</f>
        <v/>
      </c>
      <c r="F4">
        <f>IF(ABS(E4)&gt;82000,"FLAG","")</f>
        <v/>
      </c>
    </row>
    <row r="5">
      <c r="A5" s="1" t="n">
        <v>44314</v>
      </c>
      <c r="B5" t="n">
        <v>926422.62</v>
      </c>
      <c r="C5">
        <f>AVERAGE(B$2:B5)</f>
        <v/>
      </c>
      <c r="D5">
        <f>IF(ROW()=2,0,(C5-C4))</f>
        <v/>
      </c>
      <c r="E5">
        <f>B5-C5</f>
        <v/>
      </c>
      <c r="F5">
        <f>IF(ABS(E5)&gt;82000,"FLAG","")</f>
        <v/>
      </c>
    </row>
    <row r="6">
      <c r="A6" s="1" t="n">
        <v>44344</v>
      </c>
      <c r="B6" t="n">
        <v>965152.12</v>
      </c>
      <c r="C6">
        <f>AVERAGE(B$2:B6)</f>
        <v/>
      </c>
      <c r="D6">
        <f>IF(ROW()=2,0,(C6-C5))</f>
        <v/>
      </c>
      <c r="E6">
        <f>B6-C6</f>
        <v/>
      </c>
      <c r="F6">
        <f>IF(ABS(E6)&gt;82000,"FLAG","")</f>
        <v/>
      </c>
    </row>
    <row r="7">
      <c r="A7" s="1" t="n">
        <v>44375</v>
      </c>
      <c r="B7" t="n">
        <v>934013.79</v>
      </c>
      <c r="C7">
        <f>AVERAGE(B$2:B7)</f>
        <v/>
      </c>
      <c r="D7">
        <f>IF(ROW()=2,0,(C7-C6))</f>
        <v/>
      </c>
      <c r="E7">
        <f>B7-C7</f>
        <v/>
      </c>
      <c r="F7">
        <f>IF(ABS(E7)&gt;82000,"FLAG","")</f>
        <v/>
      </c>
    </row>
    <row r="8">
      <c r="A8" s="1" t="n">
        <v>44405</v>
      </c>
      <c r="B8" t="n">
        <v>972603.5600000001</v>
      </c>
      <c r="C8">
        <f>AVERAGE(B$2:B8)</f>
        <v/>
      </c>
      <c r="D8">
        <f>IF(ROW()=2,0,(C8-C7))</f>
        <v/>
      </c>
      <c r="E8">
        <f>B8-C8</f>
        <v/>
      </c>
      <c r="F8">
        <f>IF(ABS(E8)&gt;82000,"FLAG","")</f>
        <v/>
      </c>
    </row>
    <row r="9">
      <c r="A9" s="1" t="n">
        <v>44436</v>
      </c>
      <c r="B9" t="n">
        <v>988558.27</v>
      </c>
      <c r="C9">
        <f>AVERAGE(B$2:B9)</f>
        <v/>
      </c>
      <c r="D9">
        <f>IF(ROW()=2,0,(C9-C8))</f>
        <v/>
      </c>
      <c r="E9">
        <f>B9-C9</f>
        <v/>
      </c>
      <c r="F9">
        <f>IF(ABS(E9)&gt;82000,"FLAG","")</f>
        <v/>
      </c>
    </row>
    <row r="10">
      <c r="A10" s="1" t="n">
        <v>44467</v>
      </c>
      <c r="B10" t="n">
        <v>990319.34</v>
      </c>
      <c r="C10">
        <f>AVERAGE(B$2:B10)</f>
        <v/>
      </c>
      <c r="D10">
        <f>IF(ROW()=2,0,(C10-C9))</f>
        <v/>
      </c>
      <c r="E10">
        <f>B10-C10</f>
        <v/>
      </c>
      <c r="F10">
        <f>IF(ABS(E10)&gt;82000,"FLAG","")</f>
        <v/>
      </c>
    </row>
    <row r="11">
      <c r="A11" s="1" t="n">
        <v>44497</v>
      </c>
      <c r="B11" t="n">
        <v>1021025.38</v>
      </c>
      <c r="C11">
        <f>AVERAGE(B$2:B11)</f>
        <v/>
      </c>
      <c r="D11">
        <f>IF(ROW()=2,0,(C11-C10))</f>
        <v/>
      </c>
      <c r="E11">
        <f>B11-C11</f>
        <v/>
      </c>
      <c r="F11">
        <f>IF(ABS(E11)&gt;82000,"FLAG","")</f>
        <v/>
      </c>
    </row>
    <row r="12">
      <c r="A12" s="1" t="n">
        <v>44528</v>
      </c>
      <c r="B12" t="n">
        <v>1030454.04</v>
      </c>
      <c r="C12">
        <f>AVERAGE(B$2:B12)</f>
        <v/>
      </c>
      <c r="D12">
        <f>IF(ROW()=2,0,(C12-C11))</f>
        <v/>
      </c>
      <c r="E12">
        <f>B12-C12</f>
        <v/>
      </c>
      <c r="F12">
        <f>IF(ABS(E12)&gt;82000,"FLAG","")</f>
        <v/>
      </c>
    </row>
    <row r="13">
      <c r="A13" s="1" t="n">
        <v>44558</v>
      </c>
      <c r="B13" t="n">
        <v>1073785.35</v>
      </c>
      <c r="C13">
        <f>AVERAGE(B$2:B13)</f>
        <v/>
      </c>
      <c r="D13">
        <f>IF(ROW()=2,0,(C13-C12))</f>
        <v/>
      </c>
      <c r="E13">
        <f>B13-C13</f>
        <v/>
      </c>
      <c r="F13">
        <f>IF(ABS(E13)&gt;82000,"FLAG","")</f>
        <v/>
      </c>
    </row>
    <row r="14">
      <c r="A14" s="1" t="n">
        <v>44589</v>
      </c>
      <c r="B14" t="n">
        <v>1055159.42</v>
      </c>
      <c r="C14">
        <f>AVERAGE(B$2:B14)</f>
        <v/>
      </c>
      <c r="D14">
        <f>IF(ROW()=2,0,(C14-C13))</f>
        <v/>
      </c>
      <c r="E14">
        <f>B14-C14</f>
        <v/>
      </c>
      <c r="F14">
        <f>IF(ABS(E14)&gt;82000,"FLAG","")</f>
        <v/>
      </c>
    </row>
    <row r="15">
      <c r="A15" s="1" t="n">
        <v>44620</v>
      </c>
      <c r="B15" t="n">
        <v>1045030.74</v>
      </c>
      <c r="C15">
        <f>AVERAGE(B$2:B15)</f>
        <v/>
      </c>
      <c r="D15">
        <f>IF(ROW()=2,0,(C15-C14))</f>
        <v/>
      </c>
      <c r="E15">
        <f>B15-C15</f>
        <v/>
      </c>
      <c r="F15">
        <f>IF(ABS(E15)&gt;82000,"FLAG","")</f>
        <v/>
      </c>
    </row>
    <row r="16">
      <c r="A16" s="1" t="n">
        <v>44648</v>
      </c>
      <c r="B16" t="n">
        <v>1057887.64</v>
      </c>
      <c r="C16">
        <f>AVERAGE(B$2:B16)</f>
        <v/>
      </c>
      <c r="D16">
        <f>IF(ROW()=2,0,(C16-C15))</f>
        <v/>
      </c>
      <c r="E16">
        <f>B16-C16</f>
        <v/>
      </c>
      <c r="F16">
        <f>IF(ABS(E16)&gt;82000,"FLAG","")</f>
        <v/>
      </c>
    </row>
    <row r="17">
      <c r="A17" s="1" t="n">
        <v>44679</v>
      </c>
      <c r="B17" t="n">
        <v>1065031.54</v>
      </c>
      <c r="C17">
        <f>AVERAGE(B$2:B17)</f>
        <v/>
      </c>
      <c r="D17">
        <f>IF(ROW()=2,0,(C17-C16))</f>
        <v/>
      </c>
      <c r="E17">
        <f>B17-C17</f>
        <v/>
      </c>
      <c r="F17">
        <f>IF(ABS(E17)&gt;82000,"FLAG","")</f>
        <v/>
      </c>
    </row>
    <row r="18">
      <c r="A18" s="1" t="n">
        <v>44709</v>
      </c>
      <c r="B18" t="n">
        <v>1109140.92</v>
      </c>
      <c r="C18">
        <f>AVERAGE(B$2:B18)</f>
        <v/>
      </c>
      <c r="D18">
        <f>IF(ROW()=2,0,(C18-C17))</f>
        <v/>
      </c>
      <c r="E18">
        <f>B18-C18</f>
        <v/>
      </c>
      <c r="F18">
        <f>IF(ABS(E18)&gt;82000,"FLAG","")</f>
        <v/>
      </c>
    </row>
    <row r="19">
      <c r="A19" s="1" t="n">
        <v>44740</v>
      </c>
      <c r="B19" t="n">
        <v>1093797.01</v>
      </c>
      <c r="C19">
        <f>AVERAGE(B$2:B19)</f>
        <v/>
      </c>
      <c r="D19">
        <f>IF(ROW()=2,0,(C19-C18))</f>
        <v/>
      </c>
      <c r="E19">
        <f>B19-C19</f>
        <v/>
      </c>
      <c r="F19">
        <f>IF(ABS(E19)&gt;82000,"FLAG","")</f>
        <v/>
      </c>
    </row>
    <row r="20">
      <c r="A20" s="1" t="n">
        <v>44770</v>
      </c>
      <c r="B20" t="n">
        <v>1114735.31</v>
      </c>
      <c r="C20">
        <f>AVERAGE(B$2:B20)</f>
        <v/>
      </c>
      <c r="D20">
        <f>IF(ROW()=2,0,(C20-C19))</f>
        <v/>
      </c>
      <c r="E20">
        <f>B20-C20</f>
        <v/>
      </c>
      <c r="F20">
        <f>IF(ABS(E20)&gt;82000,"FLAG","")</f>
        <v/>
      </c>
    </row>
    <row r="21">
      <c r="A21" s="1" t="n">
        <v>44801</v>
      </c>
      <c r="B21" t="n">
        <v>1141487.45</v>
      </c>
      <c r="C21">
        <f>AVERAGE(B$2:B21)</f>
        <v/>
      </c>
      <c r="D21">
        <f>IF(ROW()=2,0,(C21-C20))</f>
        <v/>
      </c>
      <c r="E21">
        <f>B21-C21</f>
        <v/>
      </c>
      <c r="F21">
        <f>IF(ABS(E21)&gt;82000,"FLAG","")</f>
        <v/>
      </c>
    </row>
    <row r="22">
      <c r="A22" s="1" t="n">
        <v>44832</v>
      </c>
      <c r="B22" t="n">
        <v>1126977.67</v>
      </c>
      <c r="C22">
        <f>AVERAGE(B$2:B22)</f>
        <v/>
      </c>
      <c r="D22">
        <f>IF(ROW()=2,0,(C22-C21))</f>
        <v/>
      </c>
      <c r="E22">
        <f>B22-C22</f>
        <v/>
      </c>
      <c r="F22">
        <f>IF(ABS(E22)&gt;82000,"FLAG","")</f>
        <v/>
      </c>
    </row>
    <row r="23">
      <c r="A23" s="1" t="n">
        <v>44862</v>
      </c>
      <c r="B23" t="n">
        <v>1146714.16</v>
      </c>
      <c r="C23">
        <f>AVERAGE(B$2:B23)</f>
        <v/>
      </c>
      <c r="D23">
        <f>IF(ROW()=2,0,(C23-C22))</f>
        <v/>
      </c>
      <c r="E23">
        <f>B23-C23</f>
        <v/>
      </c>
      <c r="F23">
        <f>IF(ABS(E23)&gt;82000,"FLAG","")</f>
        <v/>
      </c>
    </row>
    <row r="24">
      <c r="A24" s="1" t="n">
        <v>44893</v>
      </c>
      <c r="B24" t="n">
        <v>1130856.85</v>
      </c>
      <c r="C24">
        <f>AVERAGE(B$2:B24)</f>
        <v/>
      </c>
      <c r="D24">
        <f>IF(ROW()=2,0,(C24-C23))</f>
        <v/>
      </c>
      <c r="E24">
        <f>B24-C24</f>
        <v/>
      </c>
      <c r="F24">
        <f>IF(ABS(E24)&gt;82000,"FLAG","")</f>
        <v/>
      </c>
    </row>
    <row r="25">
      <c r="A25" s="1" t="n">
        <v>44923</v>
      </c>
      <c r="B25" t="n">
        <v>1156515.38</v>
      </c>
      <c r="C25">
        <f>AVERAGE(B$2:B25)</f>
        <v/>
      </c>
      <c r="D25">
        <f>IF(ROW()=2,0,(C25-C24))</f>
        <v/>
      </c>
      <c r="E25">
        <f>B25-C25</f>
        <v/>
      </c>
      <c r="F25">
        <f>IF(ABS(E25)&gt;82000,"FLAG","")</f>
        <v/>
      </c>
    </row>
    <row r="26">
      <c r="A26" s="1" t="n">
        <v>44954</v>
      </c>
      <c r="B26" t="n">
        <v>1177780.74</v>
      </c>
      <c r="C26">
        <f>AVERAGE(B$2:B26)</f>
        <v/>
      </c>
      <c r="D26">
        <f>IF(ROW()=2,0,(C26-C25))</f>
        <v/>
      </c>
      <c r="E26">
        <f>B26-C26</f>
        <v/>
      </c>
      <c r="F26">
        <f>IF(ABS(E26)&gt;82000,"FLAG","")</f>
        <v/>
      </c>
    </row>
    <row r="27">
      <c r="A27" s="1" t="n">
        <v>44985</v>
      </c>
      <c r="B27" t="n">
        <v>1207483.7</v>
      </c>
      <c r="C27">
        <f>AVERAGE(B$2:B27)</f>
        <v/>
      </c>
      <c r="D27">
        <f>IF(ROW()=2,0,(C27-C26))</f>
        <v/>
      </c>
      <c r="E27">
        <f>B27-C27</f>
        <v/>
      </c>
      <c r="F27">
        <f>IF(ABS(E27)&gt;82000,"FLAG","")</f>
        <v/>
      </c>
    </row>
    <row r="28">
      <c r="A28" s="1" t="n">
        <v>45013</v>
      </c>
      <c r="B28" t="n">
        <v>1233482.88</v>
      </c>
      <c r="C28">
        <f>AVERAGE(B$2:B28)</f>
        <v/>
      </c>
      <c r="D28">
        <f>IF(ROW()=2,0,(C28-C27))</f>
        <v/>
      </c>
      <c r="E28">
        <f>B28-C28</f>
        <v/>
      </c>
      <c r="F28">
        <f>IF(ABS(E28)&gt;82000,"FLAG","")</f>
        <v/>
      </c>
    </row>
    <row r="29">
      <c r="A29" s="1" t="n">
        <v>45044</v>
      </c>
      <c r="B29" t="n">
        <v>1223667.6</v>
      </c>
      <c r="C29">
        <f>AVERAGE(B$2:B29)</f>
        <v/>
      </c>
      <c r="D29">
        <f>IF(ROW()=2,0,(C29-C28))</f>
        <v/>
      </c>
      <c r="E29">
        <f>B29-C29</f>
        <v/>
      </c>
      <c r="F29">
        <f>IF(ABS(E29)&gt;82000,"FLAG","")</f>
        <v/>
      </c>
    </row>
    <row r="30">
      <c r="A30" s="1" t="n">
        <v>45074</v>
      </c>
      <c r="B30" t="n">
        <v>1240704.56</v>
      </c>
      <c r="C30">
        <f>AVERAGE(B$2:B30)</f>
        <v/>
      </c>
      <c r="D30">
        <f>IF(ROW()=2,0,(C30-C29))</f>
        <v/>
      </c>
      <c r="E30">
        <f>B30-C30</f>
        <v/>
      </c>
      <c r="F30">
        <f>IF(ABS(E30)&gt;82000,"FLAG","")</f>
        <v/>
      </c>
    </row>
    <row r="31">
      <c r="A31" s="1" t="n">
        <v>45105</v>
      </c>
      <c r="B31" t="n">
        <v>1251023.45</v>
      </c>
      <c r="C31">
        <f>AVERAGE(B$2:B31)</f>
        <v/>
      </c>
      <c r="D31">
        <f>IF(ROW()=2,0,(C31-C30))</f>
        <v/>
      </c>
      <c r="E31">
        <f>B31-C31</f>
        <v/>
      </c>
      <c r="F31">
        <f>IF(ABS(E31)&gt;82000,"FLAG","")</f>
        <v/>
      </c>
    </row>
    <row r="32">
      <c r="A32" s="1" t="n">
        <v>45135</v>
      </c>
      <c r="B32" t="n">
        <v>1279525.34</v>
      </c>
      <c r="C32">
        <f>AVERAGE(B$2:B32)</f>
        <v/>
      </c>
      <c r="D32">
        <f>IF(ROW()=2,0,(C32-C31))</f>
        <v/>
      </c>
      <c r="E32">
        <f>B32-C32</f>
        <v/>
      </c>
      <c r="F32">
        <f>IF(ABS(E32)&gt;82000,"FLAG","")</f>
        <v/>
      </c>
    </row>
    <row r="33">
      <c r="A33" s="1" t="n">
        <v>45166</v>
      </c>
      <c r="B33" t="n">
        <v>1288080.39</v>
      </c>
      <c r="C33">
        <f>AVERAGE(B$2:B33)</f>
        <v/>
      </c>
      <c r="D33">
        <f>IF(ROW()=2,0,(C33-C32))</f>
        <v/>
      </c>
      <c r="E33">
        <f>B33-C33</f>
        <v/>
      </c>
      <c r="F33">
        <f>IF(ABS(E33)&gt;82000,"FLAG","")</f>
        <v/>
      </c>
    </row>
    <row r="34">
      <c r="A34" s="1" t="n">
        <v>45197</v>
      </c>
      <c r="B34" t="n">
        <v>1288926.48</v>
      </c>
      <c r="C34">
        <f>AVERAGE(B$2:B34)</f>
        <v/>
      </c>
      <c r="D34">
        <f>IF(ROW()=2,0,(C34-C33))</f>
        <v/>
      </c>
      <c r="E34">
        <f>B34-C34</f>
        <v/>
      </c>
      <c r="F34">
        <f>IF(ABS(E34)&gt;82000,"FLAG","")</f>
        <v/>
      </c>
    </row>
    <row r="35">
      <c r="A35" s="1" t="n">
        <v>45227</v>
      </c>
      <c r="B35" t="n">
        <v>1277803</v>
      </c>
      <c r="C35">
        <f>AVERAGE(B$2:B35)</f>
        <v/>
      </c>
      <c r="D35">
        <f>IF(ROW()=2,0,(C35-C34))</f>
        <v/>
      </c>
      <c r="E35">
        <f>B35-C35</f>
        <v/>
      </c>
      <c r="F35">
        <f>IF(ABS(E35)&gt;82000,"FLAG","")</f>
        <v/>
      </c>
    </row>
    <row r="36">
      <c r="A36" s="1" t="n">
        <v>45258</v>
      </c>
      <c r="B36" t="n">
        <v>1324260.94</v>
      </c>
      <c r="C36">
        <f>AVERAGE(B$2:B36)</f>
        <v/>
      </c>
      <c r="D36">
        <f>IF(ROW()=2,0,(C36-C35))</f>
        <v/>
      </c>
      <c r="E36">
        <f>B36-C36</f>
        <v/>
      </c>
      <c r="F36">
        <f>IF(ABS(E36)&gt;82000,"FLAG","")</f>
        <v/>
      </c>
    </row>
    <row r="37">
      <c r="A37" s="1" t="n">
        <v>45288</v>
      </c>
      <c r="B37" t="n">
        <v>1326858.85</v>
      </c>
      <c r="C37">
        <f>AVERAGE(B$2:B37)</f>
        <v/>
      </c>
      <c r="D37">
        <f>IF(ROW()=2,0,(C37-C36))</f>
        <v/>
      </c>
      <c r="E37">
        <f>B37-C37</f>
        <v/>
      </c>
      <c r="F37">
        <f>IF(ABS(E37)&gt;82000,"FLAG","")</f>
        <v/>
      </c>
    </row>
    <row r="38">
      <c r="A38" s="1" t="n">
        <v>45319</v>
      </c>
      <c r="B38" t="n">
        <v>1354084.95</v>
      </c>
      <c r="C38">
        <f>AVERAGE(B$2:B38)</f>
        <v/>
      </c>
      <c r="D38">
        <f>IF(ROW()=2,0,(C38-C37))</f>
        <v/>
      </c>
      <c r="E38">
        <f>B38-C38</f>
        <v/>
      </c>
      <c r="F38">
        <f>IF(ABS(E38)&gt;82000,"FLAG","")</f>
        <v/>
      </c>
    </row>
    <row r="39">
      <c r="A39" s="1" t="n">
        <v>45350</v>
      </c>
      <c r="B39" t="n">
        <v>1343461.68</v>
      </c>
      <c r="C39">
        <f>AVERAGE(B$2:B39)</f>
        <v/>
      </c>
      <c r="D39">
        <f>IF(ROW()=2,0,(C39-C38))</f>
        <v/>
      </c>
      <c r="E39">
        <f>B39-C39</f>
        <v/>
      </c>
      <c r="F39">
        <f>IF(ABS(E39)&gt;82000,"FLAG","")</f>
        <v/>
      </c>
    </row>
    <row r="40">
      <c r="A40" s="1" t="n">
        <v>45379</v>
      </c>
      <c r="B40" t="n">
        <v>1391155.82</v>
      </c>
      <c r="C40">
        <f>AVERAGE(B$2:B40)</f>
        <v/>
      </c>
      <c r="D40">
        <f>IF(ROW()=2,0,(C40-C39))</f>
        <v/>
      </c>
      <c r="E40">
        <f>B40-C40</f>
        <v/>
      </c>
      <c r="F40">
        <f>IF(ABS(E40)&gt;82000,"FLAG","")</f>
        <v/>
      </c>
    </row>
    <row r="41">
      <c r="A41" s="1" t="n">
        <v>45410</v>
      </c>
      <c r="B41" t="n">
        <v>1361540.23</v>
      </c>
      <c r="C41">
        <f>AVERAGE(B$2:B41)</f>
        <v/>
      </c>
      <c r="D41">
        <f>IF(ROW()=2,0,(C41-C40))</f>
        <v/>
      </c>
      <c r="E41">
        <f>B41-C41</f>
        <v/>
      </c>
      <c r="F41">
        <f>IF(ABS(E41)&gt;82000,"FLAG","")</f>
        <v/>
      </c>
    </row>
    <row r="42">
      <c r="A42" s="1" t="n">
        <v>45440</v>
      </c>
      <c r="B42" t="n">
        <v>1408675.09</v>
      </c>
      <c r="C42">
        <f>AVERAGE(B$2:B42)</f>
        <v/>
      </c>
      <c r="D42">
        <f>IF(ROW()=2,0,(C42-C41))</f>
        <v/>
      </c>
      <c r="E42">
        <f>B42-C42</f>
        <v/>
      </c>
      <c r="F42">
        <f>IF(ABS(E42)&gt;82000,"FLAG","")</f>
        <v/>
      </c>
    </row>
    <row r="43">
      <c r="A43" s="1" t="n">
        <v>45471</v>
      </c>
      <c r="B43" t="n">
        <v>1394072.14</v>
      </c>
      <c r="C43">
        <f>AVERAGE(B$2:B43)</f>
        <v/>
      </c>
      <c r="D43">
        <f>IF(ROW()=2,0,(C43-C42))</f>
        <v/>
      </c>
      <c r="E43">
        <f>B43-C43</f>
        <v/>
      </c>
      <c r="F43">
        <f>IF(ABS(E43)&gt;82000,"FLAG","")</f>
        <v/>
      </c>
    </row>
    <row r="44">
      <c r="A44" s="1" t="n">
        <v>45501</v>
      </c>
      <c r="B44" t="n">
        <v>1394707.16</v>
      </c>
      <c r="C44">
        <f>AVERAGE(B$2:B44)</f>
        <v/>
      </c>
      <c r="D44">
        <f>IF(ROW()=2,0,(C44-C43))</f>
        <v/>
      </c>
      <c r="E44">
        <f>B44-C44</f>
        <v/>
      </c>
      <c r="F44">
        <f>IF(ABS(E44)&gt;82000,"FLAG","")</f>
        <v/>
      </c>
    </row>
    <row r="45">
      <c r="A45" s="1" t="n">
        <v>45532</v>
      </c>
      <c r="B45" t="n">
        <v>1477687.94</v>
      </c>
      <c r="C45">
        <f>AVERAGE(B$2:B45)</f>
        <v/>
      </c>
      <c r="D45">
        <f>IF(ROW()=2,0,(C45-C44))</f>
        <v/>
      </c>
      <c r="E45">
        <f>B45-C45</f>
        <v/>
      </c>
      <c r="F45">
        <f>IF(ABS(E45)&gt;82000,"FLAG","")</f>
        <v/>
      </c>
    </row>
    <row r="46">
      <c r="A46" s="1" t="n">
        <v>45563</v>
      </c>
      <c r="B46" t="n">
        <v>1425281.45</v>
      </c>
      <c r="C46">
        <f>AVERAGE(B$2:B46)</f>
        <v/>
      </c>
      <c r="D46">
        <f>IF(ROW()=2,0,(C46-C45))</f>
        <v/>
      </c>
      <c r="E46">
        <f>B46-C46</f>
        <v/>
      </c>
      <c r="F46">
        <f>IF(ABS(E46)&gt;82000,"FLAG","")</f>
        <v/>
      </c>
    </row>
    <row r="47">
      <c r="A47" s="1" t="n">
        <v>45593</v>
      </c>
      <c r="B47" t="n">
        <v>1465619.78</v>
      </c>
      <c r="C47">
        <f>AVERAGE(B$2:B47)</f>
        <v/>
      </c>
      <c r="D47">
        <f>IF(ROW()=2,0,(C47-C46))</f>
        <v/>
      </c>
      <c r="E47">
        <f>B47-C47</f>
        <v/>
      </c>
      <c r="F47">
        <f>IF(ABS(E47)&gt;82000,"FLAG","")</f>
        <v/>
      </c>
    </row>
    <row r="48">
      <c r="A48" s="1" t="n">
        <v>45624</v>
      </c>
      <c r="B48" t="n">
        <v>1466694.74</v>
      </c>
      <c r="C48">
        <f>AVERAGE(B$2:B48)</f>
        <v/>
      </c>
      <c r="D48">
        <f>IF(ROW()=2,0,(C48-C47))</f>
        <v/>
      </c>
      <c r="E48">
        <f>B48-C48</f>
        <v/>
      </c>
      <c r="F48">
        <f>IF(ABS(E48)&gt;82000,"FLAG","")</f>
        <v/>
      </c>
    </row>
    <row r="49">
      <c r="A49" s="1" t="n">
        <v>45654</v>
      </c>
      <c r="B49" t="n">
        <v>1476399.91</v>
      </c>
      <c r="C49">
        <f>AVERAGE(B$2:B49)</f>
        <v/>
      </c>
      <c r="D49">
        <f>IF(ROW()=2,0,(C49-C48))</f>
        <v/>
      </c>
      <c r="E49">
        <f>B49-C49</f>
        <v/>
      </c>
      <c r="F49">
        <f>IF(ABS(E49)&gt;82000,"FLAG","")</f>
        <v/>
      </c>
    </row>
    <row r="50">
      <c r="A50" s="1" t="n">
        <v>45685</v>
      </c>
      <c r="B50" t="n">
        <v>1433234.29</v>
      </c>
      <c r="C50">
        <f>AVERAGE(B$2:B50)</f>
        <v/>
      </c>
      <c r="D50">
        <f>IF(ROW()=2,0,(C50-C49))</f>
        <v/>
      </c>
      <c r="E50">
        <f>B50-C50</f>
        <v/>
      </c>
      <c r="F50">
        <f>IF(ABS(E50)&gt;82000,"FLAG","")</f>
        <v/>
      </c>
    </row>
    <row r="51">
      <c r="A51" s="1" t="n">
        <v>45716</v>
      </c>
      <c r="B51" t="n">
        <v>1500797.36</v>
      </c>
      <c r="C51">
        <f>AVERAGE(B$2:B51)</f>
        <v/>
      </c>
      <c r="D51">
        <f>IF(ROW()=2,0,(C51-C50))</f>
        <v/>
      </c>
      <c r="E51">
        <f>B51-C51</f>
        <v/>
      </c>
      <c r="F51">
        <f>IF(ABS(E51)&gt;82000,"FLAG","")</f>
        <v/>
      </c>
    </row>
    <row r="52">
      <c r="A52" s="1" t="n">
        <v>45744</v>
      </c>
      <c r="B52" t="n">
        <v>1510005.34</v>
      </c>
      <c r="C52">
        <f>AVERAGE(B$2:B52)</f>
        <v/>
      </c>
      <c r="D52">
        <f>IF(ROW()=2,0,(C52-C51))</f>
        <v/>
      </c>
      <c r="E52">
        <f>B52-C52</f>
        <v/>
      </c>
      <c r="F52">
        <f>IF(ABS(E52)&gt;82000,"FLAG","")</f>
        <v/>
      </c>
    </row>
    <row r="53">
      <c r="A53" s="1" t="n">
        <v>45775</v>
      </c>
      <c r="B53" t="n">
        <v>1502101.33</v>
      </c>
      <c r="C53">
        <f>AVERAGE(B$2:B53)</f>
        <v/>
      </c>
      <c r="D53">
        <f>IF(ROW()=2,0,(C53-C52))</f>
        <v/>
      </c>
      <c r="E53">
        <f>B53-C53</f>
        <v/>
      </c>
      <c r="F53">
        <f>IF(ABS(E53)&gt;82000,"FLAG","")</f>
        <v/>
      </c>
    </row>
    <row r="54">
      <c r="A54" s="1" t="n">
        <v>45805</v>
      </c>
      <c r="B54" t="n">
        <v>1512707.08</v>
      </c>
      <c r="C54">
        <f>AVERAGE(B$2:B54)</f>
        <v/>
      </c>
      <c r="D54">
        <f>IF(ROW()=2,0,(C54-C53))</f>
        <v/>
      </c>
      <c r="E54">
        <f>B54-C54</f>
        <v/>
      </c>
      <c r="F54">
        <f>IF(ABS(E54)&gt;82000,"FLAG","")</f>
        <v/>
      </c>
    </row>
    <row r="55">
      <c r="A55" s="1" t="n">
        <v>45836</v>
      </c>
      <c r="B55" t="n">
        <v>1535958.41</v>
      </c>
      <c r="C55">
        <f>AVERAGE(B$2:B55)</f>
        <v/>
      </c>
      <c r="D55">
        <f>IF(ROW()=2,0,(C55-C54))</f>
        <v/>
      </c>
      <c r="E55">
        <f>B55-C55</f>
        <v/>
      </c>
      <c r="F55">
        <f>IF(ABS(E55)&gt;82000,"FLAG","")</f>
        <v/>
      </c>
    </row>
    <row r="56">
      <c r="A56" s="1" t="n">
        <v>45866</v>
      </c>
      <c r="B56" t="n">
        <v>1579047.77</v>
      </c>
      <c r="C56">
        <f>AVERAGE(B$2:B56)</f>
        <v/>
      </c>
      <c r="D56">
        <f>IF(ROW()=2,0,(C56-C55))</f>
        <v/>
      </c>
      <c r="E56">
        <f>B56-C56</f>
        <v/>
      </c>
      <c r="F56">
        <f>IF(ABS(E56)&gt;82000,"FLAG","")</f>
        <v/>
      </c>
    </row>
    <row r="57">
      <c r="A57" s="1" t="n">
        <v>45897</v>
      </c>
      <c r="B57" t="n">
        <v>1541008.19</v>
      </c>
      <c r="C57">
        <f>AVERAGE(B$2:B57)</f>
        <v/>
      </c>
      <c r="D57">
        <f>IF(ROW()=2,0,(C57-C56))</f>
        <v/>
      </c>
      <c r="E57">
        <f>B57-C57</f>
        <v/>
      </c>
      <c r="F57">
        <f>IF(ABS(E57)&gt;82000,"FLAG","")</f>
        <v/>
      </c>
    </row>
    <row r="58">
      <c r="A58" s="1" t="n">
        <v>45928</v>
      </c>
      <c r="B58" t="n">
        <v>1564299.51</v>
      </c>
      <c r="C58">
        <f>AVERAGE(B$2:B58)</f>
        <v/>
      </c>
      <c r="D58">
        <f>IF(ROW()=2,0,(C58-C57))</f>
        <v/>
      </c>
      <c r="E58">
        <f>B58-C58</f>
        <v/>
      </c>
      <c r="F58">
        <f>IF(ABS(E58)&gt;82000,"FLAG","")</f>
        <v/>
      </c>
    </row>
    <row r="59">
      <c r="A59" s="1" t="n">
        <v>45958</v>
      </c>
      <c r="B59" t="n">
        <v>1608512.13</v>
      </c>
      <c r="C59">
        <f>AVERAGE(B$2:B59)</f>
        <v/>
      </c>
      <c r="D59">
        <f>IF(ROW()=2,0,(C59-C58))</f>
        <v/>
      </c>
      <c r="E59">
        <f>B59-C59</f>
        <v/>
      </c>
      <c r="F59">
        <f>IF(ABS(E59)&gt;82000,"FLAG","")</f>
        <v/>
      </c>
    </row>
    <row r="60">
      <c r="A60" s="1" t="n">
        <v>45989</v>
      </c>
      <c r="B60" t="n">
        <v>1587969.29</v>
      </c>
      <c r="C60">
        <f>AVERAGE(B$2:B60)</f>
        <v/>
      </c>
      <c r="D60">
        <f>IF(ROW()=2,0,(C60-C59))</f>
        <v/>
      </c>
      <c r="E60">
        <f>B60-C60</f>
        <v/>
      </c>
      <c r="F60">
        <f>IF(ABS(E60)&gt;82000,"FLAG","")</f>
        <v/>
      </c>
    </row>
    <row r="61">
      <c r="A61" s="1" t="n">
        <v>46019</v>
      </c>
      <c r="B61" t="n">
        <v>1601443.47</v>
      </c>
      <c r="C61">
        <f>AVERAGE(B$2:B61)</f>
        <v/>
      </c>
      <c r="D61">
        <f>IF(ROW()=2,0,(C61-C60))</f>
        <v/>
      </c>
      <c r="E61">
        <f>B61-C61</f>
        <v/>
      </c>
      <c r="F61">
        <f>IF(ABS(E61)&gt;82000,"FLAG","")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2" customWidth="1" min="6" max="6"/>
    <col width="18" customWidth="1" min="7" max="7"/>
    <col width="12" customWidth="1" min="8" max="8"/>
  </cols>
  <sheetData>
    <row r="1">
      <c r="A1" t="inlineStr">
        <is>
          <t>month</t>
        </is>
      </c>
      <c r="B1" t="inlineStr">
        <is>
          <t>value</t>
        </is>
      </c>
      <c r="C1" t="inlineStr">
        <is>
          <t>window_a_var</t>
        </is>
      </c>
      <c r="D1" t="inlineStr">
        <is>
          <t>window_b_var</t>
        </is>
      </c>
      <c r="E1" t="inlineStr">
        <is>
          <t>variance_ratio</t>
        </is>
      </c>
      <c r="F1" t="inlineStr">
        <is>
          <t>f_critical</t>
        </is>
      </c>
      <c r="G1" t="inlineStr">
        <is>
          <t>practical_threshold</t>
        </is>
      </c>
      <c r="H1" t="inlineStr">
        <is>
          <t>flag</t>
        </is>
      </c>
    </row>
    <row r="2">
      <c r="A2" s="1" t="n">
        <v>44224</v>
      </c>
      <c r="B2" t="n">
        <v>15117.33</v>
      </c>
      <c r="C2">
        <f>IF(ROW()&lt;13,NA(),VAR.S(B2:B2))</f>
        <v/>
      </c>
      <c r="D2">
        <f>IF(ROW()&lt;13,NA(),VAR.S(B3:B2))</f>
        <v/>
      </c>
      <c r="E2">
        <f>IFERROR(MAX(C2,D2)/MIN(C2,D2),NA())</f>
        <v/>
      </c>
      <c r="F2">
        <f>F.INV.RT(0.05,5,5)</f>
        <v/>
      </c>
      <c r="G2" t="n">
        <v>3.8</v>
      </c>
      <c r="H2">
        <f>IF(E2&gt;G2,"FLAG","")</f>
        <v/>
      </c>
    </row>
    <row r="3">
      <c r="A3" s="1" t="n">
        <v>44255</v>
      </c>
      <c r="B3" t="n">
        <v>13510.45</v>
      </c>
      <c r="C3">
        <f>IF(ROW()&lt;13,NA(),VAR.S(B2:B2))</f>
        <v/>
      </c>
      <c r="D3">
        <f>IF(ROW()&lt;13,NA(),VAR.S(B3:B3))</f>
        <v/>
      </c>
      <c r="E3">
        <f>IFERROR(MAX(C3,D3)/MIN(C3,D3),NA())</f>
        <v/>
      </c>
      <c r="F3">
        <f>F.INV.RT(0.05,5,5)</f>
        <v/>
      </c>
      <c r="G3" t="n">
        <v>3.8</v>
      </c>
      <c r="H3">
        <f>IF(E3&gt;G3,"FLAG","")</f>
        <v/>
      </c>
    </row>
    <row r="4">
      <c r="A4" s="1" t="n">
        <v>44283</v>
      </c>
      <c r="B4" t="n">
        <v>15263.93</v>
      </c>
      <c r="C4">
        <f>IF(ROW()&lt;13,NA(),VAR.S(B2:B2))</f>
        <v/>
      </c>
      <c r="D4">
        <f>IF(ROW()&lt;13,NA(),VAR.S(B3:B4))</f>
        <v/>
      </c>
      <c r="E4">
        <f>IFERROR(MAX(C4,D4)/MIN(C4,D4),NA())</f>
        <v/>
      </c>
      <c r="F4">
        <f>F.INV.RT(0.05,5,5)</f>
        <v/>
      </c>
      <c r="G4" t="n">
        <v>3.8</v>
      </c>
      <c r="H4">
        <f>IF(E4&gt;G4,"FLAG","")</f>
        <v/>
      </c>
    </row>
    <row r="5">
      <c r="A5" s="1" t="n">
        <v>44314</v>
      </c>
      <c r="B5" t="n">
        <v>13548.46</v>
      </c>
      <c r="C5">
        <f>IF(ROW()&lt;13,NA(),VAR.S(B2:B2))</f>
        <v/>
      </c>
      <c r="D5">
        <f>IF(ROW()&lt;13,NA(),VAR.S(B3:B5))</f>
        <v/>
      </c>
      <c r="E5">
        <f>IFERROR(MAX(C5,D5)/MIN(C5,D5),NA())</f>
        <v/>
      </c>
      <c r="F5">
        <f>F.INV.RT(0.05,5,5)</f>
        <v/>
      </c>
      <c r="G5" t="n">
        <v>3.8</v>
      </c>
      <c r="H5">
        <f>IF(E5&gt;G5,"FLAG","")</f>
        <v/>
      </c>
    </row>
    <row r="6">
      <c r="A6" s="1" t="n">
        <v>44344</v>
      </c>
      <c r="B6" t="n">
        <v>16062.24</v>
      </c>
      <c r="C6">
        <f>IF(ROW()&lt;13,NA(),VAR.S(B2:B2))</f>
        <v/>
      </c>
      <c r="D6">
        <f>IF(ROW()&lt;13,NA(),VAR.S(B3:B6))</f>
        <v/>
      </c>
      <c r="E6">
        <f>IFERROR(MAX(C6,D6)/MIN(C6,D6),NA())</f>
        <v/>
      </c>
      <c r="F6">
        <f>F.INV.RT(0.05,5,5)</f>
        <v/>
      </c>
      <c r="G6" t="n">
        <v>3.8</v>
      </c>
      <c r="H6">
        <f>IF(E6&gt;G6,"FLAG","")</f>
        <v/>
      </c>
    </row>
    <row r="7">
      <c r="A7" s="1" t="n">
        <v>44375</v>
      </c>
      <c r="B7" t="n">
        <v>15003.82</v>
      </c>
      <c r="C7">
        <f>IF(ROW()&lt;13,NA(),VAR.S(B2:B2))</f>
        <v/>
      </c>
      <c r="D7">
        <f>IF(ROW()&lt;13,NA(),VAR.S(B3:B7))</f>
        <v/>
      </c>
      <c r="E7">
        <f>IFERROR(MAX(C7,D7)/MIN(C7,D7),NA())</f>
        <v/>
      </c>
      <c r="F7">
        <f>F.INV.RT(0.05,5,5)</f>
        <v/>
      </c>
      <c r="G7" t="n">
        <v>3.8</v>
      </c>
      <c r="H7">
        <f>IF(E7&gt;G7,"FLAG","")</f>
        <v/>
      </c>
    </row>
    <row r="8">
      <c r="A8" s="1" t="n">
        <v>44405</v>
      </c>
      <c r="B8" t="n">
        <v>17740.12</v>
      </c>
      <c r="C8">
        <f>IF(ROW()&lt;13,NA(),VAR.S(B2:B3))</f>
        <v/>
      </c>
      <c r="D8">
        <f>IF(ROW()&lt;13,NA(),VAR.S(B4:B8))</f>
        <v/>
      </c>
      <c r="E8">
        <f>IFERROR(MAX(C8,D8)/MIN(C8,D8),NA())</f>
        <v/>
      </c>
      <c r="F8">
        <f>F.INV.RT(0.05,5,5)</f>
        <v/>
      </c>
      <c r="G8" t="n">
        <v>3.8</v>
      </c>
      <c r="H8">
        <f>IF(E8&gt;G8,"FLAG","")</f>
        <v/>
      </c>
    </row>
    <row r="9">
      <c r="A9" s="1" t="n">
        <v>44436</v>
      </c>
      <c r="B9" t="n">
        <v>15337.01</v>
      </c>
      <c r="C9">
        <f>IF(ROW()&lt;13,NA(),VAR.S(B2:B4))</f>
        <v/>
      </c>
      <c r="D9">
        <f>IF(ROW()&lt;13,NA(),VAR.S(B5:B9))</f>
        <v/>
      </c>
      <c r="E9">
        <f>IFERROR(MAX(C9,D9)/MIN(C9,D9),NA())</f>
        <v/>
      </c>
      <c r="F9">
        <f>F.INV.RT(0.05,5,5)</f>
        <v/>
      </c>
      <c r="G9" t="n">
        <v>3.8</v>
      </c>
      <c r="H9">
        <f>IF(E9&gt;G9,"FLAG","")</f>
        <v/>
      </c>
    </row>
    <row r="10">
      <c r="A10" s="1" t="n">
        <v>44467</v>
      </c>
      <c r="B10" t="n">
        <v>16638.83</v>
      </c>
      <c r="C10">
        <f>IF(ROW()&lt;13,NA(),VAR.S(B2:B5))</f>
        <v/>
      </c>
      <c r="D10">
        <f>IF(ROW()&lt;13,NA(),VAR.S(B6:B10))</f>
        <v/>
      </c>
      <c r="E10">
        <f>IFERROR(MAX(C10,D10)/MIN(C10,D10),NA())</f>
        <v/>
      </c>
      <c r="F10">
        <f>F.INV.RT(0.05,5,5)</f>
        <v/>
      </c>
      <c r="G10" t="n">
        <v>3.8</v>
      </c>
      <c r="H10">
        <f>IF(E10&gt;G10,"FLAG","")</f>
        <v/>
      </c>
    </row>
    <row r="11">
      <c r="A11" s="1" t="n">
        <v>44497</v>
      </c>
      <c r="B11" t="n">
        <v>13436.08</v>
      </c>
      <c r="C11">
        <f>IF(ROW()&lt;13,NA(),VAR.S(B2:B6))</f>
        <v/>
      </c>
      <c r="D11">
        <f>IF(ROW()&lt;13,NA(),VAR.S(B7:B11))</f>
        <v/>
      </c>
      <c r="E11">
        <f>IFERROR(MAX(C11,D11)/MIN(C11,D11),NA())</f>
        <v/>
      </c>
      <c r="F11">
        <f>F.INV.RT(0.05,5,5)</f>
        <v/>
      </c>
      <c r="G11" t="n">
        <v>3.8</v>
      </c>
      <c r="H11">
        <f>IF(E11&gt;G11,"FLAG","")</f>
        <v/>
      </c>
    </row>
    <row r="12">
      <c r="A12" s="1" t="n">
        <v>44528</v>
      </c>
      <c r="B12" t="n">
        <v>14853.43</v>
      </c>
      <c r="C12">
        <f>IF(ROW()&lt;13,NA(),VAR.S(B2:B7))</f>
        <v/>
      </c>
      <c r="D12">
        <f>IF(ROW()&lt;13,NA(),VAR.S(B8:B12))</f>
        <v/>
      </c>
      <c r="E12">
        <f>IFERROR(MAX(C12,D12)/MIN(C12,D12),NA())</f>
        <v/>
      </c>
      <c r="F12">
        <f>F.INV.RT(0.05,5,5)</f>
        <v/>
      </c>
      <c r="G12" t="n">
        <v>3.8</v>
      </c>
      <c r="H12">
        <f>IF(E12&gt;G12,"FLAG","")</f>
        <v/>
      </c>
    </row>
    <row r="13">
      <c r="A13" s="1" t="n">
        <v>44558</v>
      </c>
      <c r="B13" t="n">
        <v>15387.77</v>
      </c>
      <c r="C13">
        <f>IF(ROW()&lt;13,NA(),VAR.S(B2:B8))</f>
        <v/>
      </c>
      <c r="D13">
        <f>IF(ROW()&lt;13,NA(),VAR.S(B9:B13))</f>
        <v/>
      </c>
      <c r="E13">
        <f>IFERROR(MAX(C13,D13)/MIN(C13,D13),NA())</f>
        <v/>
      </c>
      <c r="F13">
        <f>F.INV.RT(0.05,5,5)</f>
        <v/>
      </c>
      <c r="G13" t="n">
        <v>3.8</v>
      </c>
      <c r="H13">
        <f>IF(E13&gt;G13,"FLAG","")</f>
        <v/>
      </c>
    </row>
    <row r="14">
      <c r="A14" s="1" t="n">
        <v>44589</v>
      </c>
      <c r="B14" t="n">
        <v>17094.87</v>
      </c>
      <c r="C14">
        <f>IF(ROW()&lt;13,NA(),VAR.S(B3:B9))</f>
        <v/>
      </c>
      <c r="D14">
        <f>IF(ROW()&lt;13,NA(),VAR.S(B10:B14))</f>
        <v/>
      </c>
      <c r="E14">
        <f>IFERROR(MAX(C14,D14)/MIN(C14,D14),NA())</f>
        <v/>
      </c>
      <c r="F14">
        <f>F.INV.RT(0.05,5,5)</f>
        <v/>
      </c>
      <c r="G14" t="n">
        <v>3.8</v>
      </c>
      <c r="H14">
        <f>IF(E14&gt;G14,"FLAG","")</f>
        <v/>
      </c>
    </row>
    <row r="15">
      <c r="A15" s="1" t="n">
        <v>44620</v>
      </c>
      <c r="B15" t="n">
        <v>12982.9</v>
      </c>
      <c r="C15">
        <f>IF(ROW()&lt;13,NA(),VAR.S(B4:B10))</f>
        <v/>
      </c>
      <c r="D15">
        <f>IF(ROW()&lt;13,NA(),VAR.S(B11:B15))</f>
        <v/>
      </c>
      <c r="E15">
        <f>IFERROR(MAX(C15,D15)/MIN(C15,D15),NA())</f>
        <v/>
      </c>
      <c r="F15">
        <f>F.INV.RT(0.05,5,5)</f>
        <v/>
      </c>
      <c r="G15" t="n">
        <v>3.8</v>
      </c>
      <c r="H15">
        <f>IF(E15&gt;G15,"FLAG","")</f>
        <v/>
      </c>
    </row>
    <row r="16">
      <c r="A16" s="1" t="n">
        <v>44648</v>
      </c>
      <c r="B16" t="n">
        <v>16188.74</v>
      </c>
      <c r="C16">
        <f>IF(ROW()&lt;13,NA(),VAR.S(B5:B11))</f>
        <v/>
      </c>
      <c r="D16">
        <f>IF(ROW()&lt;13,NA(),VAR.S(B12:B16))</f>
        <v/>
      </c>
      <c r="E16">
        <f>IFERROR(MAX(C16,D16)/MIN(C16,D16),NA())</f>
        <v/>
      </c>
      <c r="F16">
        <f>F.INV.RT(0.05,5,5)</f>
        <v/>
      </c>
      <c r="G16" t="n">
        <v>3.8</v>
      </c>
      <c r="H16">
        <f>IF(E16&gt;G16,"FLAG","")</f>
        <v/>
      </c>
    </row>
    <row r="17">
      <c r="A17" s="1" t="n">
        <v>44679</v>
      </c>
      <c r="B17" t="n">
        <v>15709.62</v>
      </c>
      <c r="C17">
        <f>IF(ROW()&lt;13,NA(),VAR.S(B6:B12))</f>
        <v/>
      </c>
      <c r="D17">
        <f>IF(ROW()&lt;13,NA(),VAR.S(B13:B17))</f>
        <v/>
      </c>
      <c r="E17">
        <f>IFERROR(MAX(C17,D17)/MIN(C17,D17),NA())</f>
        <v/>
      </c>
      <c r="F17">
        <f>F.INV.RT(0.05,5,5)</f>
        <v/>
      </c>
      <c r="G17" t="n">
        <v>3.8</v>
      </c>
      <c r="H17">
        <f>IF(E17&gt;G17,"FLAG","")</f>
        <v/>
      </c>
    </row>
    <row r="18">
      <c r="A18" s="1" t="n">
        <v>44709</v>
      </c>
      <c r="B18" t="n">
        <v>16840.26</v>
      </c>
      <c r="C18">
        <f>IF(ROW()&lt;13,NA(),VAR.S(B7:B13))</f>
        <v/>
      </c>
      <c r="D18">
        <f>IF(ROW()&lt;13,NA(),VAR.S(B14:B18))</f>
        <v/>
      </c>
      <c r="E18">
        <f>IFERROR(MAX(C18,D18)/MIN(C18,D18),NA())</f>
        <v/>
      </c>
      <c r="F18">
        <f>F.INV.RT(0.05,5,5)</f>
        <v/>
      </c>
      <c r="G18" t="n">
        <v>3.8</v>
      </c>
      <c r="H18">
        <f>IF(E18&gt;G18,"FLAG","")</f>
        <v/>
      </c>
    </row>
    <row r="19">
      <c r="A19" s="1" t="n">
        <v>44740</v>
      </c>
      <c r="B19" t="n">
        <v>15854.86</v>
      </c>
      <c r="C19">
        <f>IF(ROW()&lt;13,NA(),VAR.S(B8:B14))</f>
        <v/>
      </c>
      <c r="D19">
        <f>IF(ROW()&lt;13,NA(),VAR.S(B15:B19))</f>
        <v/>
      </c>
      <c r="E19">
        <f>IFERROR(MAX(C19,D19)/MIN(C19,D19),NA())</f>
        <v/>
      </c>
      <c r="F19">
        <f>F.INV.RT(0.05,5,5)</f>
        <v/>
      </c>
      <c r="G19" t="n">
        <v>3.8</v>
      </c>
      <c r="H19">
        <f>IF(E19&gt;G19,"FLAG","")</f>
        <v/>
      </c>
    </row>
    <row r="20">
      <c r="A20" s="1" t="n">
        <v>44770</v>
      </c>
      <c r="B20" t="n">
        <v>15062.49</v>
      </c>
      <c r="C20">
        <f>IF(ROW()&lt;13,NA(),VAR.S(B9:B15))</f>
        <v/>
      </c>
      <c r="D20">
        <f>IF(ROW()&lt;13,NA(),VAR.S(B16:B20))</f>
        <v/>
      </c>
      <c r="E20">
        <f>IFERROR(MAX(C20,D20)/MIN(C20,D20),NA())</f>
        <v/>
      </c>
      <c r="F20">
        <f>F.INV.RT(0.05,5,5)</f>
        <v/>
      </c>
      <c r="G20" t="n">
        <v>3.8</v>
      </c>
      <c r="H20">
        <f>IF(E20&gt;G20,"FLAG","")</f>
        <v/>
      </c>
    </row>
    <row r="21">
      <c r="A21" s="1" t="n">
        <v>44801</v>
      </c>
      <c r="B21" t="n">
        <v>14374.02</v>
      </c>
      <c r="C21">
        <f>IF(ROW()&lt;13,NA(),VAR.S(B10:B16))</f>
        <v/>
      </c>
      <c r="D21">
        <f>IF(ROW()&lt;13,NA(),VAR.S(B17:B21))</f>
        <v/>
      </c>
      <c r="E21">
        <f>IFERROR(MAX(C21,D21)/MIN(C21,D21),NA())</f>
        <v/>
      </c>
      <c r="F21">
        <f>F.INV.RT(0.05,5,5)</f>
        <v/>
      </c>
      <c r="G21" t="n">
        <v>3.8</v>
      </c>
      <c r="H21">
        <f>IF(E21&gt;G21,"FLAG","")</f>
        <v/>
      </c>
    </row>
    <row r="22">
      <c r="A22" s="1" t="n">
        <v>44832</v>
      </c>
      <c r="B22" t="n">
        <v>13502.18</v>
      </c>
      <c r="C22">
        <f>IF(ROW()&lt;13,NA(),VAR.S(B11:B17))</f>
        <v/>
      </c>
      <c r="D22">
        <f>IF(ROW()&lt;13,NA(),VAR.S(B18:B22))</f>
        <v/>
      </c>
      <c r="E22">
        <f>IFERROR(MAX(C22,D22)/MIN(C22,D22),NA())</f>
        <v/>
      </c>
      <c r="F22">
        <f>F.INV.RT(0.05,5,5)</f>
        <v/>
      </c>
      <c r="G22" t="n">
        <v>3.8</v>
      </c>
      <c r="H22">
        <f>IF(E22&gt;G22,"FLAG","")</f>
        <v/>
      </c>
    </row>
    <row r="23">
      <c r="A23" s="1" t="n">
        <v>44862</v>
      </c>
      <c r="B23" t="n">
        <v>15234.51</v>
      </c>
      <c r="C23">
        <f>IF(ROW()&lt;13,NA(),VAR.S(B12:B18))</f>
        <v/>
      </c>
      <c r="D23">
        <f>IF(ROW()&lt;13,NA(),VAR.S(B19:B23))</f>
        <v/>
      </c>
      <c r="E23">
        <f>IFERROR(MAX(C23,D23)/MIN(C23,D23),NA())</f>
        <v/>
      </c>
      <c r="F23">
        <f>F.INV.RT(0.05,5,5)</f>
        <v/>
      </c>
      <c r="G23" t="n">
        <v>3.8</v>
      </c>
      <c r="H23">
        <f>IF(E23&gt;G23,"FLAG","")</f>
        <v/>
      </c>
    </row>
    <row r="24">
      <c r="A24" s="1" t="n">
        <v>44893</v>
      </c>
      <c r="B24" t="n">
        <v>14769.96</v>
      </c>
      <c r="C24">
        <f>IF(ROW()&lt;13,NA(),VAR.S(B13:B19))</f>
        <v/>
      </c>
      <c r="D24">
        <f>IF(ROW()&lt;13,NA(),VAR.S(B20:B24))</f>
        <v/>
      </c>
      <c r="E24">
        <f>IFERROR(MAX(C24,D24)/MIN(C24,D24),NA())</f>
        <v/>
      </c>
      <c r="F24">
        <f>F.INV.RT(0.05,5,5)</f>
        <v/>
      </c>
      <c r="G24" t="n">
        <v>3.8</v>
      </c>
      <c r="H24">
        <f>IF(E24&gt;G24,"FLAG","")</f>
        <v/>
      </c>
    </row>
    <row r="25">
      <c r="A25" s="1" t="n">
        <v>44923</v>
      </c>
      <c r="B25" t="n">
        <v>17424.32</v>
      </c>
      <c r="C25">
        <f>IF(ROW()&lt;13,NA(),VAR.S(B14:B20))</f>
        <v/>
      </c>
      <c r="D25">
        <f>IF(ROW()&lt;13,NA(),VAR.S(B21:B25))</f>
        <v/>
      </c>
      <c r="E25">
        <f>IFERROR(MAX(C25,D25)/MIN(C25,D25),NA())</f>
        <v/>
      </c>
      <c r="F25">
        <f>F.INV.RT(0.05,5,5)</f>
        <v/>
      </c>
      <c r="G25" t="n">
        <v>3.8</v>
      </c>
      <c r="H25">
        <f>IF(E25&gt;G25,"FLAG","")</f>
        <v/>
      </c>
    </row>
    <row r="26">
      <c r="A26" s="1" t="n">
        <v>44954</v>
      </c>
      <c r="B26" t="n">
        <v>14266.77</v>
      </c>
      <c r="C26">
        <f>IF(ROW()&lt;13,NA(),VAR.S(B15:B21))</f>
        <v/>
      </c>
      <c r="D26">
        <f>IF(ROW()&lt;13,NA(),VAR.S(B22:B26))</f>
        <v/>
      </c>
      <c r="E26">
        <f>IFERROR(MAX(C26,D26)/MIN(C26,D26),NA())</f>
        <v/>
      </c>
      <c r="F26">
        <f>F.INV.RT(0.05,5,5)</f>
        <v/>
      </c>
      <c r="G26" t="n">
        <v>3.8</v>
      </c>
      <c r="H26">
        <f>IF(E26&gt;G26,"FLAG","")</f>
        <v/>
      </c>
    </row>
    <row r="27">
      <c r="A27" s="1" t="n">
        <v>44985</v>
      </c>
      <c r="B27" t="n">
        <v>15384.47</v>
      </c>
      <c r="C27">
        <f>IF(ROW()&lt;13,NA(),VAR.S(B16:B22))</f>
        <v/>
      </c>
      <c r="D27">
        <f>IF(ROW()&lt;13,NA(),VAR.S(B23:B27))</f>
        <v/>
      </c>
      <c r="E27">
        <f>IFERROR(MAX(C27,D27)/MIN(C27,D27),NA())</f>
        <v/>
      </c>
      <c r="F27">
        <f>F.INV.RT(0.05,5,5)</f>
        <v/>
      </c>
      <c r="G27" t="n">
        <v>3.8</v>
      </c>
      <c r="H27">
        <f>IF(E27&gt;G27,"FLAG","")</f>
        <v/>
      </c>
    </row>
    <row r="28">
      <c r="A28" s="1" t="n">
        <v>45013</v>
      </c>
      <c r="B28" t="n">
        <v>13117.2</v>
      </c>
      <c r="C28">
        <f>IF(ROW()&lt;13,NA(),VAR.S(B17:B23))</f>
        <v/>
      </c>
      <c r="D28">
        <f>IF(ROW()&lt;13,NA(),VAR.S(B24:B28))</f>
        <v/>
      </c>
      <c r="E28">
        <f>IFERROR(MAX(C28,D28)/MIN(C28,D28),NA())</f>
        <v/>
      </c>
      <c r="F28">
        <f>F.INV.RT(0.05,5,5)</f>
        <v/>
      </c>
      <c r="G28" t="n">
        <v>3.8</v>
      </c>
      <c r="H28">
        <f>IF(E28&gt;G28,"FLAG","")</f>
        <v/>
      </c>
    </row>
    <row r="29">
      <c r="A29" s="1" t="n">
        <v>45044</v>
      </c>
      <c r="B29" t="n">
        <v>14525.44</v>
      </c>
      <c r="C29">
        <f>IF(ROW()&lt;13,NA(),VAR.S(B18:B24))</f>
        <v/>
      </c>
      <c r="D29">
        <f>IF(ROW()&lt;13,NA(),VAR.S(B25:B29))</f>
        <v/>
      </c>
      <c r="E29">
        <f>IFERROR(MAX(C29,D29)/MIN(C29,D29),NA())</f>
        <v/>
      </c>
      <c r="F29">
        <f>F.INV.RT(0.05,5,5)</f>
        <v/>
      </c>
      <c r="G29" t="n">
        <v>3.8</v>
      </c>
      <c r="H29">
        <f>IF(E29&gt;G29,"FLAG","")</f>
        <v/>
      </c>
    </row>
    <row r="30">
      <c r="A30" s="1" t="n">
        <v>45074</v>
      </c>
      <c r="B30" t="n">
        <v>15313.38</v>
      </c>
      <c r="C30">
        <f>IF(ROW()&lt;13,NA(),VAR.S(B19:B25))</f>
        <v/>
      </c>
      <c r="D30">
        <f>IF(ROW()&lt;13,NA(),VAR.S(B26:B30))</f>
        <v/>
      </c>
      <c r="E30">
        <f>IFERROR(MAX(C30,D30)/MIN(C30,D30),NA())</f>
        <v/>
      </c>
      <c r="F30">
        <f>F.INV.RT(0.05,5,5)</f>
        <v/>
      </c>
      <c r="G30" t="n">
        <v>3.8</v>
      </c>
      <c r="H30">
        <f>IF(E30&gt;G30,"FLAG","")</f>
        <v/>
      </c>
    </row>
    <row r="31">
      <c r="A31" s="1" t="n">
        <v>45105</v>
      </c>
      <c r="B31" t="n">
        <v>15988.75</v>
      </c>
      <c r="C31">
        <f>IF(ROW()&lt;13,NA(),VAR.S(B20:B26))</f>
        <v/>
      </c>
      <c r="D31">
        <f>IF(ROW()&lt;13,NA(),VAR.S(B27:B31))</f>
        <v/>
      </c>
      <c r="E31">
        <f>IFERROR(MAX(C31,D31)/MIN(C31,D31),NA())</f>
        <v/>
      </c>
      <c r="F31">
        <f>F.INV.RT(0.05,5,5)</f>
        <v/>
      </c>
      <c r="G31" t="n">
        <v>3.8</v>
      </c>
      <c r="H31">
        <f>IF(E31&gt;G31,"FLAG","")</f>
        <v/>
      </c>
    </row>
    <row r="32">
      <c r="A32" s="1" t="n">
        <v>45135</v>
      </c>
      <c r="B32" t="n">
        <v>18765.06</v>
      </c>
      <c r="C32">
        <f>IF(ROW()&lt;13,NA(),VAR.S(B21:B27))</f>
        <v/>
      </c>
      <c r="D32">
        <f>IF(ROW()&lt;13,NA(),VAR.S(B28:B32))</f>
        <v/>
      </c>
      <c r="E32">
        <f>IFERROR(MAX(C32,D32)/MIN(C32,D32),NA())</f>
        <v/>
      </c>
      <c r="F32">
        <f>F.INV.RT(0.05,5,5)</f>
        <v/>
      </c>
      <c r="G32" t="n">
        <v>3.8</v>
      </c>
      <c r="H32">
        <f>IF(E32&gt;G32,"FLAG","")</f>
        <v/>
      </c>
    </row>
    <row r="33">
      <c r="A33" s="1" t="n">
        <v>45166</v>
      </c>
      <c r="B33" t="n">
        <v>14885.21</v>
      </c>
      <c r="C33">
        <f>IF(ROW()&lt;13,NA(),VAR.S(B22:B28))</f>
        <v/>
      </c>
      <c r="D33">
        <f>IF(ROW()&lt;13,NA(),VAR.S(B29:B33))</f>
        <v/>
      </c>
      <c r="E33">
        <f>IFERROR(MAX(C33,D33)/MIN(C33,D33),NA())</f>
        <v/>
      </c>
      <c r="F33">
        <f>F.INV.RT(0.05,5,5)</f>
        <v/>
      </c>
      <c r="G33" t="n">
        <v>3.8</v>
      </c>
      <c r="H33">
        <f>IF(E33&gt;G33,"FLAG","")</f>
        <v/>
      </c>
    </row>
    <row r="34">
      <c r="A34" s="1" t="n">
        <v>45197</v>
      </c>
      <c r="B34" t="n">
        <v>12095.16</v>
      </c>
      <c r="C34">
        <f>IF(ROW()&lt;13,NA(),VAR.S(B23:B29))</f>
        <v/>
      </c>
      <c r="D34">
        <f>IF(ROW()&lt;13,NA(),VAR.S(B30:B34))</f>
        <v/>
      </c>
      <c r="E34">
        <f>IFERROR(MAX(C34,D34)/MIN(C34,D34),NA())</f>
        <v/>
      </c>
      <c r="F34">
        <f>F.INV.RT(0.05,5,5)</f>
        <v/>
      </c>
      <c r="G34" t="n">
        <v>3.8</v>
      </c>
      <c r="H34">
        <f>IF(E34&gt;G34,"FLAG","")</f>
        <v/>
      </c>
    </row>
    <row r="35">
      <c r="A35" s="1" t="n">
        <v>45227</v>
      </c>
      <c r="B35" t="n">
        <v>16190.41</v>
      </c>
      <c r="C35">
        <f>IF(ROW()&lt;13,NA(),VAR.S(B24:B30))</f>
        <v/>
      </c>
      <c r="D35">
        <f>IF(ROW()&lt;13,NA(),VAR.S(B31:B35))</f>
        <v/>
      </c>
      <c r="E35">
        <f>IFERROR(MAX(C35,D35)/MIN(C35,D35),NA())</f>
        <v/>
      </c>
      <c r="F35">
        <f>F.INV.RT(0.05,5,5)</f>
        <v/>
      </c>
      <c r="G35" t="n">
        <v>3.8</v>
      </c>
      <c r="H35">
        <f>IF(E35&gt;G35,"FLAG","")</f>
        <v/>
      </c>
    </row>
    <row r="36">
      <c r="A36" s="1" t="n">
        <v>45258</v>
      </c>
      <c r="B36" t="n">
        <v>16344.17</v>
      </c>
      <c r="C36">
        <f>IF(ROW()&lt;13,NA(),VAR.S(B25:B31))</f>
        <v/>
      </c>
      <c r="D36">
        <f>IF(ROW()&lt;13,NA(),VAR.S(B32:B36))</f>
        <v/>
      </c>
      <c r="E36">
        <f>IFERROR(MAX(C36,D36)/MIN(C36,D36),NA())</f>
        <v/>
      </c>
      <c r="F36">
        <f>F.INV.RT(0.05,5,5)</f>
        <v/>
      </c>
      <c r="G36" t="n">
        <v>3.8</v>
      </c>
      <c r="H36">
        <f>IF(E36&gt;G36,"FLAG","")</f>
        <v/>
      </c>
    </row>
    <row r="37">
      <c r="A37" s="1" t="n">
        <v>45288</v>
      </c>
      <c r="B37" t="n">
        <v>16278.31</v>
      </c>
      <c r="C37">
        <f>IF(ROW()&lt;13,NA(),VAR.S(B26:B32))</f>
        <v/>
      </c>
      <c r="D37">
        <f>IF(ROW()&lt;13,NA(),VAR.S(B33:B37))</f>
        <v/>
      </c>
      <c r="E37">
        <f>IFERROR(MAX(C37,D37)/MIN(C37,D37),NA())</f>
        <v/>
      </c>
      <c r="F37">
        <f>F.INV.RT(0.05,5,5)</f>
        <v/>
      </c>
      <c r="G37" t="n">
        <v>3.8</v>
      </c>
      <c r="H37">
        <f>IF(E37&gt;G37,"FLAG","")</f>
        <v/>
      </c>
    </row>
    <row r="38">
      <c r="A38" s="1" t="n">
        <v>45319</v>
      </c>
      <c r="B38" t="n">
        <v>13179.25</v>
      </c>
      <c r="C38">
        <f>IF(ROW()&lt;13,NA(),VAR.S(B27:B33))</f>
        <v/>
      </c>
      <c r="D38">
        <f>IF(ROW()&lt;13,NA(),VAR.S(B34:B38))</f>
        <v/>
      </c>
      <c r="E38">
        <f>IFERROR(MAX(C38,D38)/MIN(C38,D38),NA())</f>
        <v/>
      </c>
      <c r="F38">
        <f>F.INV.RT(0.05,5,5)</f>
        <v/>
      </c>
      <c r="G38" t="n">
        <v>3.8</v>
      </c>
      <c r="H38">
        <f>IF(E38&gt;G38,"FLAG","")</f>
        <v/>
      </c>
    </row>
    <row r="39">
      <c r="A39" s="1" t="n">
        <v>45350</v>
      </c>
      <c r="B39" t="n">
        <v>17946.8</v>
      </c>
      <c r="C39">
        <f>IF(ROW()&lt;13,NA(),VAR.S(B28:B34))</f>
        <v/>
      </c>
      <c r="D39">
        <f>IF(ROW()&lt;13,NA(),VAR.S(B35:B39))</f>
        <v/>
      </c>
      <c r="E39">
        <f>IFERROR(MAX(C39,D39)/MIN(C39,D39),NA())</f>
        <v/>
      </c>
      <c r="F39">
        <f>F.INV.RT(0.05,5,5)</f>
        <v/>
      </c>
      <c r="G39" t="n">
        <v>3.8</v>
      </c>
      <c r="H39">
        <f>IF(E39&gt;G39,"FLAG","")</f>
        <v/>
      </c>
    </row>
    <row r="40">
      <c r="A40" s="1" t="n">
        <v>45379</v>
      </c>
      <c r="B40" t="n">
        <v>15228.53</v>
      </c>
      <c r="C40">
        <f>IF(ROW()&lt;13,NA(),VAR.S(B29:B35))</f>
        <v/>
      </c>
      <c r="D40">
        <f>IF(ROW()&lt;13,NA(),VAR.S(B36:B40))</f>
        <v/>
      </c>
      <c r="E40">
        <f>IFERROR(MAX(C40,D40)/MIN(C40,D40),NA())</f>
        <v/>
      </c>
      <c r="F40">
        <f>F.INV.RT(0.05,5,5)</f>
        <v/>
      </c>
      <c r="G40" t="n">
        <v>3.8</v>
      </c>
      <c r="H40">
        <f>IF(E40&gt;G40,"FLAG","")</f>
        <v/>
      </c>
    </row>
    <row r="41">
      <c r="A41" s="1" t="n">
        <v>45410</v>
      </c>
      <c r="B41" t="n">
        <v>16819.54</v>
      </c>
      <c r="C41">
        <f>IF(ROW()&lt;13,NA(),VAR.S(B30:B36))</f>
        <v/>
      </c>
      <c r="D41">
        <f>IF(ROW()&lt;13,NA(),VAR.S(B37:B41))</f>
        <v/>
      </c>
      <c r="E41">
        <f>IFERROR(MAX(C41,D41)/MIN(C41,D41),NA())</f>
        <v/>
      </c>
      <c r="F41">
        <f>F.INV.RT(0.05,5,5)</f>
        <v/>
      </c>
      <c r="G41" t="n">
        <v>3.8</v>
      </c>
      <c r="H41">
        <f>IF(E41&gt;G41,"FLAG","")</f>
        <v/>
      </c>
    </row>
    <row r="42">
      <c r="A42" s="1" t="n">
        <v>45440</v>
      </c>
      <c r="B42" t="n">
        <v>18312.59</v>
      </c>
      <c r="C42">
        <f>IF(ROW()&lt;13,NA(),VAR.S(B31:B37))</f>
        <v/>
      </c>
      <c r="D42">
        <f>IF(ROW()&lt;13,NA(),VAR.S(B38:B42))</f>
        <v/>
      </c>
      <c r="E42">
        <f>IFERROR(MAX(C42,D42)/MIN(C42,D42),NA())</f>
        <v/>
      </c>
      <c r="F42">
        <f>F.INV.RT(0.05,5,5)</f>
        <v/>
      </c>
      <c r="G42" t="n">
        <v>3.8</v>
      </c>
      <c r="H42">
        <f>IF(E42&gt;G42,"FLAG","")</f>
        <v/>
      </c>
    </row>
    <row r="43">
      <c r="A43" s="1" t="n">
        <v>45471</v>
      </c>
      <c r="B43" t="n">
        <v>16584.11</v>
      </c>
      <c r="C43">
        <f>IF(ROW()&lt;13,NA(),VAR.S(B32:B38))</f>
        <v/>
      </c>
      <c r="D43">
        <f>IF(ROW()&lt;13,NA(),VAR.S(B39:B43))</f>
        <v/>
      </c>
      <c r="E43">
        <f>IFERROR(MAX(C43,D43)/MIN(C43,D43),NA())</f>
        <v/>
      </c>
      <c r="F43">
        <f>F.INV.RT(0.05,5,5)</f>
        <v/>
      </c>
      <c r="G43" t="n">
        <v>3.8</v>
      </c>
      <c r="H43">
        <f>IF(E43&gt;G43,"FLAG","")</f>
        <v/>
      </c>
    </row>
    <row r="44">
      <c r="A44" s="1" t="n">
        <v>45501</v>
      </c>
      <c r="B44" t="n">
        <v>15744.94</v>
      </c>
      <c r="C44">
        <f>IF(ROW()&lt;13,NA(),VAR.S(B33:B39))</f>
        <v/>
      </c>
      <c r="D44">
        <f>IF(ROW()&lt;13,NA(),VAR.S(B40:B44))</f>
        <v/>
      </c>
      <c r="E44">
        <f>IFERROR(MAX(C44,D44)/MIN(C44,D44),NA())</f>
        <v/>
      </c>
      <c r="F44">
        <f>F.INV.RT(0.05,5,5)</f>
        <v/>
      </c>
      <c r="G44" t="n">
        <v>3.8</v>
      </c>
      <c r="H44">
        <f>IF(E44&gt;G44,"FLAG","")</f>
        <v/>
      </c>
    </row>
    <row r="45">
      <c r="A45" s="1" t="n">
        <v>45532</v>
      </c>
      <c r="B45" t="n">
        <v>20597.27</v>
      </c>
      <c r="C45">
        <f>IF(ROW()&lt;13,NA(),VAR.S(B34:B40))</f>
        <v/>
      </c>
      <c r="D45">
        <f>IF(ROW()&lt;13,NA(),VAR.S(B41:B45))</f>
        <v/>
      </c>
      <c r="E45">
        <f>IFERROR(MAX(C45,D45)/MIN(C45,D45),NA())</f>
        <v/>
      </c>
      <c r="F45">
        <f>F.INV.RT(0.05,5,5)</f>
        <v/>
      </c>
      <c r="G45" t="n">
        <v>3.8</v>
      </c>
      <c r="H45">
        <f>IF(E45&gt;G45,"FLAG","")</f>
        <v/>
      </c>
    </row>
    <row r="46">
      <c r="A46" s="1" t="n">
        <v>45563</v>
      </c>
      <c r="B46" t="n">
        <v>15633.63</v>
      </c>
      <c r="C46">
        <f>IF(ROW()&lt;13,NA(),VAR.S(B35:B41))</f>
        <v/>
      </c>
      <c r="D46">
        <f>IF(ROW()&lt;13,NA(),VAR.S(B42:B46))</f>
        <v/>
      </c>
      <c r="E46">
        <f>IFERROR(MAX(C46,D46)/MIN(C46,D46),NA())</f>
        <v/>
      </c>
      <c r="F46">
        <f>F.INV.RT(0.05,5,5)</f>
        <v/>
      </c>
      <c r="G46" t="n">
        <v>3.8</v>
      </c>
      <c r="H46">
        <f>IF(E46&gt;G46,"FLAG","")</f>
        <v/>
      </c>
    </row>
    <row r="47">
      <c r="A47" s="1" t="n">
        <v>45593</v>
      </c>
      <c r="B47" t="n">
        <v>14230.49</v>
      </c>
      <c r="C47">
        <f>IF(ROW()&lt;13,NA(),VAR.S(B36:B42))</f>
        <v/>
      </c>
      <c r="D47">
        <f>IF(ROW()&lt;13,NA(),VAR.S(B43:B47))</f>
        <v/>
      </c>
      <c r="E47">
        <f>IFERROR(MAX(C47,D47)/MIN(C47,D47),NA())</f>
        <v/>
      </c>
      <c r="F47">
        <f>F.INV.RT(0.05,5,5)</f>
        <v/>
      </c>
      <c r="G47" t="n">
        <v>3.8</v>
      </c>
      <c r="H47">
        <f>IF(E47&gt;G47,"FLAG","")</f>
        <v/>
      </c>
    </row>
    <row r="48">
      <c r="A48" s="1" t="n">
        <v>45624</v>
      </c>
      <c r="B48" t="n">
        <v>15291.11</v>
      </c>
      <c r="C48">
        <f>IF(ROW()&lt;13,NA(),VAR.S(B37:B43))</f>
        <v/>
      </c>
      <c r="D48">
        <f>IF(ROW()&lt;13,NA(),VAR.S(B44:B48))</f>
        <v/>
      </c>
      <c r="E48">
        <f>IFERROR(MAX(C48,D48)/MIN(C48,D48),NA())</f>
        <v/>
      </c>
      <c r="F48">
        <f>F.INV.RT(0.05,5,5)</f>
        <v/>
      </c>
      <c r="G48" t="n">
        <v>3.8</v>
      </c>
      <c r="H48">
        <f>IF(E48&gt;G48,"FLAG","")</f>
        <v/>
      </c>
    </row>
    <row r="49">
      <c r="A49" s="1" t="n">
        <v>45654</v>
      </c>
      <c r="B49" t="n">
        <v>18855.2</v>
      </c>
      <c r="C49">
        <f>IF(ROW()&lt;13,NA(),VAR.S(B38:B44))</f>
        <v/>
      </c>
      <c r="D49">
        <f>IF(ROW()&lt;13,NA(),VAR.S(B45:B49))</f>
        <v/>
      </c>
      <c r="E49">
        <f>IFERROR(MAX(C49,D49)/MIN(C49,D49),NA())</f>
        <v/>
      </c>
      <c r="F49">
        <f>F.INV.RT(0.05,5,5)</f>
        <v/>
      </c>
      <c r="G49" t="n">
        <v>3.8</v>
      </c>
      <c r="H49">
        <f>IF(E49&gt;G49,"FLAG","")</f>
        <v/>
      </c>
    </row>
    <row r="50">
      <c r="A50" s="1" t="n">
        <v>45685</v>
      </c>
      <c r="B50" t="n">
        <v>15308.65</v>
      </c>
      <c r="C50">
        <f>IF(ROW()&lt;13,NA(),VAR.S(B39:B45))</f>
        <v/>
      </c>
      <c r="D50">
        <f>IF(ROW()&lt;13,NA(),VAR.S(B46:B50))</f>
        <v/>
      </c>
      <c r="E50">
        <f>IFERROR(MAX(C50,D50)/MIN(C50,D50),NA())</f>
        <v/>
      </c>
      <c r="F50">
        <f>F.INV.RT(0.05,5,5)</f>
        <v/>
      </c>
      <c r="G50" t="n">
        <v>3.8</v>
      </c>
      <c r="H50">
        <f>IF(E50&gt;G50,"FLAG","")</f>
        <v/>
      </c>
    </row>
    <row r="51">
      <c r="A51" s="1" t="n">
        <v>45716</v>
      </c>
      <c r="B51" t="n">
        <v>16350.38</v>
      </c>
      <c r="C51">
        <f>IF(ROW()&lt;13,NA(),VAR.S(B40:B46))</f>
        <v/>
      </c>
      <c r="D51">
        <f>IF(ROW()&lt;13,NA(),VAR.S(B47:B51))</f>
        <v/>
      </c>
      <c r="E51">
        <f>IFERROR(MAX(C51,D51)/MIN(C51,D51),NA())</f>
        <v/>
      </c>
      <c r="F51">
        <f>F.INV.RT(0.05,5,5)</f>
        <v/>
      </c>
      <c r="G51" t="n">
        <v>3.8</v>
      </c>
      <c r="H51">
        <f>IF(E51&gt;G51,"FLAG","")</f>
        <v/>
      </c>
    </row>
    <row r="52">
      <c r="A52" s="1" t="n">
        <v>45744</v>
      </c>
      <c r="B52" t="n">
        <v>18108.9</v>
      </c>
      <c r="C52">
        <f>IF(ROW()&lt;13,NA(),VAR.S(B41:B47))</f>
        <v/>
      </c>
      <c r="D52">
        <f>IF(ROW()&lt;13,NA(),VAR.S(B48:B52))</f>
        <v/>
      </c>
      <c r="E52">
        <f>IFERROR(MAX(C52,D52)/MIN(C52,D52),NA())</f>
        <v/>
      </c>
      <c r="F52">
        <f>F.INV.RT(0.05,5,5)</f>
        <v/>
      </c>
      <c r="G52" t="n">
        <v>3.8</v>
      </c>
      <c r="H52">
        <f>IF(E52&gt;G52,"FLAG","")</f>
        <v/>
      </c>
    </row>
    <row r="53">
      <c r="A53" s="1" t="n">
        <v>45775</v>
      </c>
      <c r="B53" t="n">
        <v>13666.57</v>
      </c>
      <c r="C53">
        <f>IF(ROW()&lt;13,NA(),VAR.S(B42:B48))</f>
        <v/>
      </c>
      <c r="D53">
        <f>IF(ROW()&lt;13,NA(),VAR.S(B49:B53))</f>
        <v/>
      </c>
      <c r="E53">
        <f>IFERROR(MAX(C53,D53)/MIN(C53,D53),NA())</f>
        <v/>
      </c>
      <c r="F53">
        <f>F.INV.RT(0.05,5,5)</f>
        <v/>
      </c>
      <c r="G53" t="n">
        <v>3.8</v>
      </c>
      <c r="H53">
        <f>IF(E53&gt;G53,"FLAG","")</f>
        <v/>
      </c>
    </row>
    <row r="54">
      <c r="A54" s="1" t="n">
        <v>45805</v>
      </c>
      <c r="B54" t="n">
        <v>10510.92</v>
      </c>
      <c r="C54">
        <f>IF(ROW()&lt;13,NA(),VAR.S(B43:B49))</f>
        <v/>
      </c>
      <c r="D54">
        <f>IF(ROW()&lt;13,NA(),VAR.S(B50:B54))</f>
        <v/>
      </c>
      <c r="E54">
        <f>IFERROR(MAX(C54,D54)/MIN(C54,D54),NA())</f>
        <v/>
      </c>
      <c r="F54">
        <f>F.INV.RT(0.05,5,5)</f>
        <v/>
      </c>
      <c r="G54" t="n">
        <v>3.8</v>
      </c>
      <c r="H54">
        <f>IF(E54&gt;G54,"FLAG","")</f>
        <v/>
      </c>
    </row>
    <row r="55">
      <c r="A55" s="1" t="n">
        <v>45836</v>
      </c>
      <c r="B55" t="n">
        <v>15778.5</v>
      </c>
      <c r="C55">
        <f>IF(ROW()&lt;13,NA(),VAR.S(B44:B50))</f>
        <v/>
      </c>
      <c r="D55">
        <f>IF(ROW()&lt;13,NA(),VAR.S(B51:B55))</f>
        <v/>
      </c>
      <c r="E55">
        <f>IFERROR(MAX(C55,D55)/MIN(C55,D55),NA())</f>
        <v/>
      </c>
      <c r="F55">
        <f>F.INV.RT(0.05,5,5)</f>
        <v/>
      </c>
      <c r="G55" t="n">
        <v>3.8</v>
      </c>
      <c r="H55">
        <f>IF(E55&gt;G55,"FLAG","")</f>
        <v/>
      </c>
    </row>
    <row r="56">
      <c r="A56" s="1" t="n">
        <v>45866</v>
      </c>
      <c r="B56" t="n">
        <v>15597.31</v>
      </c>
      <c r="C56">
        <f>IF(ROW()&lt;13,NA(),VAR.S(B45:B51))</f>
        <v/>
      </c>
      <c r="D56">
        <f>IF(ROW()&lt;13,NA(),VAR.S(B52:B56))</f>
        <v/>
      </c>
      <c r="E56">
        <f>IFERROR(MAX(C56,D56)/MIN(C56,D56),NA())</f>
        <v/>
      </c>
      <c r="F56">
        <f>F.INV.RT(0.05,5,5)</f>
        <v/>
      </c>
      <c r="G56" t="n">
        <v>3.8</v>
      </c>
      <c r="H56">
        <f>IF(E56&gt;G56,"FLAG","")</f>
        <v/>
      </c>
    </row>
    <row r="57">
      <c r="A57" s="1" t="n">
        <v>45897</v>
      </c>
      <c r="B57" t="n">
        <v>13419.17</v>
      </c>
      <c r="C57">
        <f>IF(ROW()&lt;13,NA(),VAR.S(B46:B52))</f>
        <v/>
      </c>
      <c r="D57">
        <f>IF(ROW()&lt;13,NA(),VAR.S(B53:B57))</f>
        <v/>
      </c>
      <c r="E57">
        <f>IFERROR(MAX(C57,D57)/MIN(C57,D57),NA())</f>
        <v/>
      </c>
      <c r="F57">
        <f>F.INV.RT(0.05,5,5)</f>
        <v/>
      </c>
      <c r="G57" t="n">
        <v>3.8</v>
      </c>
      <c r="H57">
        <f>IF(E57&gt;G57,"FLAG","")</f>
        <v/>
      </c>
    </row>
    <row r="58">
      <c r="A58" s="1" t="n">
        <v>45928</v>
      </c>
      <c r="B58" t="n">
        <v>17264.82</v>
      </c>
      <c r="C58">
        <f>IF(ROW()&lt;13,NA(),VAR.S(B47:B53))</f>
        <v/>
      </c>
      <c r="D58">
        <f>IF(ROW()&lt;13,NA(),VAR.S(B54:B58))</f>
        <v/>
      </c>
      <c r="E58">
        <f>IFERROR(MAX(C58,D58)/MIN(C58,D58),NA())</f>
        <v/>
      </c>
      <c r="F58">
        <f>F.INV.RT(0.05,5,5)</f>
        <v/>
      </c>
      <c r="G58" t="n">
        <v>3.8</v>
      </c>
      <c r="H58">
        <f>IF(E58&gt;G58,"FLAG","")</f>
        <v/>
      </c>
    </row>
    <row r="59">
      <c r="A59" s="1" t="n">
        <v>45958</v>
      </c>
      <c r="B59" t="n">
        <v>16579.68</v>
      </c>
      <c r="C59">
        <f>IF(ROW()&lt;13,NA(),VAR.S(B48:B54))</f>
        <v/>
      </c>
      <c r="D59">
        <f>IF(ROW()&lt;13,NA(),VAR.S(B55:B59))</f>
        <v/>
      </c>
      <c r="E59">
        <f>IFERROR(MAX(C59,D59)/MIN(C59,D59),NA())</f>
        <v/>
      </c>
      <c r="F59">
        <f>F.INV.RT(0.05,5,5)</f>
        <v/>
      </c>
      <c r="G59" t="n">
        <v>3.8</v>
      </c>
      <c r="H59">
        <f>IF(E59&gt;G59,"FLAG","")</f>
        <v/>
      </c>
    </row>
    <row r="60">
      <c r="A60" s="1" t="n">
        <v>45989</v>
      </c>
      <c r="B60" t="n">
        <v>12413.02</v>
      </c>
      <c r="C60">
        <f>IF(ROW()&lt;13,NA(),VAR.S(B49:B55))</f>
        <v/>
      </c>
      <c r="D60">
        <f>IF(ROW()&lt;13,NA(),VAR.S(B56:B60))</f>
        <v/>
      </c>
      <c r="E60">
        <f>IFERROR(MAX(C60,D60)/MIN(C60,D60),NA())</f>
        <v/>
      </c>
      <c r="F60">
        <f>F.INV.RT(0.05,5,5)</f>
        <v/>
      </c>
      <c r="G60" t="n">
        <v>3.8</v>
      </c>
      <c r="H60">
        <f>IF(E60&gt;G60,"FLAG","")</f>
        <v/>
      </c>
    </row>
    <row r="61">
      <c r="A61" s="1" t="n">
        <v>46019</v>
      </c>
      <c r="B61" t="n">
        <v>16347.37</v>
      </c>
      <c r="C61">
        <f>IF(ROW()&lt;13,NA(),VAR.S(B50:B56))</f>
        <v/>
      </c>
      <c r="D61">
        <f>IF(ROW()&lt;13,NA(),VAR.S(B57:B61))</f>
        <v/>
      </c>
      <c r="E61">
        <f>IFERROR(MAX(C61,D61)/MIN(C61,D61),NA())</f>
        <v/>
      </c>
      <c r="F61">
        <f>F.INV.RT(0.05,5,5)</f>
        <v/>
      </c>
      <c r="G61" t="n">
        <v>3.8</v>
      </c>
      <c r="H61">
        <f>IF(E61&gt;G61,"FLAG","")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2" customWidth="1" min="6" max="6"/>
    <col width="18" customWidth="1" min="7" max="7"/>
    <col width="12" customWidth="1" min="8" max="8"/>
  </cols>
  <sheetData>
    <row r="1">
      <c r="A1" s="2" t="inlineStr">
        <is>
          <t>Diagnostic Selector Dashboard</t>
        </is>
      </c>
    </row>
    <row r="2">
      <c r="A2" t="inlineStr">
        <is>
          <t>Stationary diagnostic</t>
        </is>
      </c>
      <c r="B2" t="inlineStr">
        <is>
          <t>Rolling z-score</t>
        </is>
      </c>
      <c r="C2" t="inlineStr">
        <is>
          <t>Use for stable monthly series; anomaly injected at row 50.</t>
        </is>
      </c>
    </row>
    <row r="3">
      <c r="A3" t="inlineStr">
        <is>
          <t>Trend diagnostic</t>
        </is>
      </c>
      <c r="B3" t="inlineStr">
        <is>
          <t>Holt-smoothed residual</t>
        </is>
      </c>
      <c r="C3" t="inlineStr">
        <is>
          <t>Use for trending series; anomaly injected at row 45.</t>
        </is>
      </c>
    </row>
    <row r="4">
      <c r="A4" t="inlineStr">
        <is>
          <t>Variance diagnostic</t>
        </is>
      </c>
      <c r="B4" t="inlineStr">
        <is>
          <t>Variance ratio</t>
        </is>
      </c>
      <c r="C4" t="inlineStr">
        <is>
          <t>Use for heteroscedastic transitions; calibrated threshold 3.8.</t>
        </is>
      </c>
    </row>
    <row r="10">
      <c r="A10" t="inlineStr">
        <is>
          <t>Prompt</t>
        </is>
      </c>
      <c r="B10" t="inlineStr">
        <is>
          <t>Document the flagged month, diagnostic chosen, parameters, and follow-up under AS 2305.20.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2026-05-15T06:10:12Z</dcterms:created>
  <dcterms:modified xsi:type="dcterms:W3CDTF">2026-05-15T06:10:12Z</dcterms:modified>
</cp:coreProperties>
</file>